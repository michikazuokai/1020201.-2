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BPlan/TTC/授業資料/2025年度/1020201.アルゴリズム２/10/"/>
    </mc:Choice>
  </mc:AlternateContent>
  <xr:revisionPtr revIDLastSave="0" documentId="8_{0C8FD5A3-CCAF-B24C-8B1E-C824AD962BA8}" xr6:coauthVersionLast="47" xr6:coauthVersionMax="47" xr10:uidLastSave="{00000000-0000-0000-0000-000000000000}"/>
  <bookViews>
    <workbookView xWindow="10860" yWindow="2620" windowWidth="32040" windowHeight="20640" activeTab="2" xr2:uid="{1AF82A5B-4E71-A64C-8DB5-C7045A0B925E}"/>
  </bookViews>
  <sheets>
    <sheet name="Sheet1" sheetId="1" r:id="rId1"/>
    <sheet name="Sheet2" sheetId="2" r:id="rId2"/>
    <sheet name="Sheet4 (2)" sheetId="5" r:id="rId3"/>
    <sheet name="Sheet4" sheetId="4" r:id="rId4"/>
    <sheet name="Sheet3" sheetId="3" r:id="rId5"/>
    <sheet name="Sheet6" sheetId="6" r:id="rId6"/>
  </sheets>
  <definedNames>
    <definedName name="_xlchart.v1.0" hidden="1">Sheet1!$C$2:$C$211</definedName>
    <definedName name="potato_31students" localSheetId="0">Sheet1!$A$1:$E$211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" l="1"/>
  <c r="D24" i="4" s="1"/>
  <c r="G21" i="4" s="1"/>
  <c r="G25" i="4" s="1"/>
  <c r="I20" i="4" s="1"/>
  <c r="D20" i="4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4" i="2" a="1"/>
  <c r="J14" i="2" s="1"/>
  <c r="M10" i="2" a="1"/>
  <c r="M10" i="2" s="1"/>
  <c r="M7" i="2" a="1"/>
  <c r="M7" i="2" s="1"/>
  <c r="M3" i="2" a="1"/>
  <c r="M3" i="2" s="1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2" i="3"/>
  <c r="M5" i="1"/>
  <c r="L5" i="1"/>
  <c r="K5" i="1"/>
  <c r="J5" i="1"/>
  <c r="I5" i="1"/>
  <c r="H5" i="1"/>
  <c r="G5" i="1"/>
  <c r="H2" i="1"/>
  <c r="F3" i="3" l="1" a="1"/>
  <c r="F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A2DDF5-56C6-334B-9071-B6251AFFBBEA}" name="potato_31students" type="6" refreshedVersion="8" background="1" saveData="1">
    <textPr codePage="65001" sourceFile="/Volumes/NBPlan/TTC/授業資料/2025年度/1020201.アルゴリズム２/potato_31students.csv" comma="1">
      <textFields count="5"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<sst xmlns="http://schemas.openxmlformats.org/spreadsheetml/2006/main" count="910" uniqueCount="85">
  <si>
    <t>学生ID</t>
  </si>
  <si>
    <t>曜日</t>
  </si>
  <si>
    <t>重さ_g</t>
  </si>
  <si>
    <t>味の印象</t>
  </si>
  <si>
    <t>メモ</t>
  </si>
  <si>
    <t>月</t>
  </si>
  <si>
    <t>薄い</t>
  </si>
  <si>
    <t>火</t>
  </si>
  <si>
    <t>普通</t>
  </si>
  <si>
    <t>水</t>
  </si>
  <si>
    <t>木</t>
  </si>
  <si>
    <t>濃い</t>
  </si>
  <si>
    <t>塩が多め</t>
  </si>
  <si>
    <t>金</t>
  </si>
  <si>
    <t>特に違和感なし</t>
  </si>
  <si>
    <t>土</t>
  </si>
  <si>
    <t>日</t>
  </si>
  <si>
    <t>S01</t>
  </si>
  <si>
    <t>塩が控えめ／揚げ色が白い</t>
  </si>
  <si>
    <t>塩が控えめ／揚げたて</t>
  </si>
  <si>
    <t>特に違和感なし／揚げたて</t>
  </si>
  <si>
    <t>S02</t>
  </si>
  <si>
    <t>塩が控えめ</t>
  </si>
  <si>
    <t>S03</t>
  </si>
  <si>
    <t>S04</t>
  </si>
  <si>
    <t>塩が多め／揚げたて</t>
  </si>
  <si>
    <t>S05</t>
  </si>
  <si>
    <t>S06</t>
  </si>
  <si>
    <t>S07</t>
  </si>
  <si>
    <t>S08</t>
  </si>
  <si>
    <t>塩が多め／山盛りに見えた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</si>
  <si>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</si>
  <si>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</si>
  <si>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</si>
  <si>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</si>
  <si>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</si>
  <si>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</si>
  <si>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</si>
  <si>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</si>
  <si>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</si>
  <si>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</si>
  <si>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</si>
  <si>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</si>
  <si>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</si>
  <si>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</si>
  <si>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</si>
  <si>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</si>
  <si>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</si>
  <si>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</si>
  <si>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</si>
  <si>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</si>
  <si>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</si>
  <si>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</si>
  <si>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全数の平均</t>
    <rPh sb="0" eb="2">
      <t>ゼn</t>
    </rPh>
    <rPh sb="3" eb="5">
      <t>ヘイキn</t>
    </rPh>
    <phoneticPr fontId="1"/>
  </si>
  <si>
    <t>実習：駅前ハンバーガー店のポテトは本当に135g？</t>
  </si>
  <si>
    <t>駅前ハンバーガー店では、Mサイズのフライドポテトの平均重量は</t>
  </si>
  <si>
    <t>135gと公表されている。</t>
  </si>
  <si>
    <t>ある1日に、10人で1個ずつ購入し、合計10個のポテトの重さを測定した。</t>
  </si>
  <si>
    <t>この10個のデータを使って、公表値どおりと言ってよいかを判断する。</t>
  </si>
  <si>
    <t>【今回の前提】</t>
  </si>
  <si>
    <t>・標本サイズ：10（1日・10人の調査）</t>
  </si>
  <si>
    <t>・ポテトの重さは正規分布に従うと仮定する</t>
  </si>
  <si>
    <t>・z値を使って検定する</t>
  </si>
  <si>
    <t>・重い場合・軽い場合の両方を考える（両側検定）</t>
  </si>
  <si>
    <t>【測定データ（g）】</t>
  </si>
  <si>
    <t>【標本の特徴】</t>
  </si>
  <si>
    <t>標本数 n</t>
  </si>
  <si>
    <t>標準誤差</t>
  </si>
  <si>
    <t>【検定統計量】</t>
  </si>
  <si>
    <t>公表値（μ）</t>
  </si>
  <si>
    <t>z値</t>
  </si>
  <si>
    <t>有意水準</t>
  </si>
  <si>
    <t>【判断】</t>
  </si>
  <si>
    <t>p値と有意水準の比較</t>
  </si>
  <si>
    <t>標準偏差</t>
    <rPh sb="0" eb="2">
      <t>ヒョウジュn</t>
    </rPh>
    <phoneticPr fontId="1"/>
  </si>
  <si>
    <t>・公表値（母平均）：135g　　母分散（既知）：３６（標準偏差＝６）</t>
    <rPh sb="16" eb="19">
      <t>ボブンサn</t>
    </rPh>
    <rPh sb="20" eb="22">
      <t xml:space="preserve">キチ </t>
    </rPh>
    <rPh sb="27" eb="31">
      <t>ヒョウジュn</t>
    </rPh>
    <phoneticPr fontId="1"/>
  </si>
  <si>
    <t>標本平均</t>
    <phoneticPr fontId="1"/>
  </si>
  <si>
    <t>これは、「フライドポテトの平均重量が公表値 135g である」と仮定した場合に、</t>
  </si>
  <si>
    <t>今回のような標本平均が得られる確率が5%よりも小さいことを意味する。</t>
  </si>
  <si>
    <t>つまり、この結果は偶然としては非常に起こりにくいと判断できる。</t>
  </si>
  <si>
    <t>したがって、この店のポテトは公表値135gどおりとは言えない。</t>
    <phoneticPr fontId="1"/>
  </si>
  <si>
    <t>【p値】</t>
    <phoneticPr fontId="1"/>
  </si>
  <si>
    <t>(両側)</t>
    <rPh sb="1" eb="3">
      <t>リョウ</t>
    </rPh>
    <phoneticPr fontId="1"/>
  </si>
  <si>
    <t>›</t>
    <phoneticPr fontId="1"/>
  </si>
  <si>
    <t>公表値（μ）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</si>
</sst>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 applyFill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8" fillId="0" borderId="1" xfId="0" applyFont="1" applyFill="1" applyBorder="1">
      <alignment vertical="center"/>
    </xf>
    <xf numFmtId="0" fontId="3" fillId="0" borderId="2" xfId="0" applyFont="1" applyBorder="1">
      <alignment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3" fillId="0" borderId="9" xfId="0" applyFont="1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3" fillId="0" borderId="4" xfId="0" applyFont="1" applyBorder="1">
      <alignment vertical="center"/>
    </xf>
    <xf numFmtId="0" fontId="0" fillId="0" borderId="11" xfId="0" applyBorder="1">
      <alignment vertical="center"/>
    </xf>
    <xf numFmtId="0" fontId="0" fillId="0" borderId="5" xfId="0" applyBorder="1">
      <alignment vertical="center"/>
    </xf>
    <xf numFmtId="0" fontId="3" fillId="0" borderId="12" xfId="0" applyFont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Sheet1!$G$4:$M$4</c:f>
              <c:strCache>
                <c:ptCount val="7"/>
                <c:pt idx="0">
                  <c:v>月</c:v>
                </c:pt>
                <c:pt idx="1">
                  <c:v>火</c:v>
                </c:pt>
                <c:pt idx="2">
                  <c:v>水</c:v>
                </c:pt>
                <c:pt idx="3">
                  <c:v>木</c:v>
                </c:pt>
                <c:pt idx="4">
                  <c:v>金</c:v>
                </c:pt>
                <c:pt idx="5">
                  <c:v>土</c:v>
                </c:pt>
                <c:pt idx="6">
                  <c:v>日</c:v>
                </c:pt>
              </c:strCache>
            </c:strRef>
          </c:cat>
          <c:val>
            <c:numRef>
              <c:f>Sheet1!$G$5:$M$5</c:f>
              <c:numCache>
                <c:formatCode>General</c:formatCode>
                <c:ptCount val="7"/>
                <c:pt idx="0">
                  <c:v>131.03333333333333</c:v>
                </c:pt>
                <c:pt idx="1">
                  <c:v>133.96666666666667</c:v>
                </c:pt>
                <c:pt idx="2">
                  <c:v>131.03333333333333</c:v>
                </c:pt>
                <c:pt idx="3">
                  <c:v>131.66666666666666</c:v>
                </c:pt>
                <c:pt idx="4">
                  <c:v>131.16666666666666</c:v>
                </c:pt>
                <c:pt idx="5">
                  <c:v>135.5</c:v>
                </c:pt>
                <c:pt idx="6">
                  <c:v>137.69999999999999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2-804B-B4F4-A55F7436B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063040"/>
        <c:axId val="2068536768"/>
      </c:lineChart>
      <c:catAx>
        <c:axId val="209406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8536768"/>
        <c:crosses val="autoZero"/>
        <c:auto val="1"/>
        <c:lblAlgn val="ctr"/>
        <c:lblOffset val="100"/>
        <c:noMultiLvlLbl val="0"/>
      </c:catAx>
      <c:valAx>
        <c:axId val="206853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406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Sheet3!$F$3:$F$20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7</c:v>
                </c:pt>
                <c:pt idx="9">
                  <c:v>12</c:v>
                </c:pt>
                <c:pt idx="10">
                  <c:v>24</c:v>
                </c:pt>
                <c:pt idx="11">
                  <c:v>29</c:v>
                </c:pt>
                <c:pt idx="12">
                  <c:v>17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9-6B41-B695-D8CCDF14A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436928"/>
        <c:axId val="2027430656"/>
      </c:barChart>
      <c:catAx>
        <c:axId val="202743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430656"/>
        <c:crosses val="autoZero"/>
        <c:auto val="1"/>
        <c:lblAlgn val="ctr"/>
        <c:lblOffset val="100"/>
        <c:noMultiLvlLbl val="0"/>
      </c:catAx>
      <c:valAx>
        <c:axId val="202743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743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ja-JP" altLang="en-US" sz="16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eiryo" panose="020B0604030504040204" pitchFamily="34" charset="-128"/>
                <a:ea typeface="Meiryo" panose="020B0604030504040204" pitchFamily="34" charset="-128"/>
              </a:rPr>
              <a:t>ポテト</a:t>
            </a:r>
            <a:r>
              <a:rPr lang="en-US" altLang="ja-JP" sz="16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eiryo" panose="020B0604030504040204" pitchFamily="34" charset="-128"/>
                <a:ea typeface="Meiryo" panose="020B0604030504040204" pitchFamily="34" charset="-128"/>
              </a:rPr>
              <a:t>(M)</a:t>
            </a:r>
            <a:r>
              <a:rPr lang="ja-JP" altLang="en-US" sz="16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eiryo" panose="020B0604030504040204" pitchFamily="34" charset="-128"/>
                <a:ea typeface="Meiryo" panose="020B0604030504040204" pitchFamily="34" charset="-128"/>
              </a:rPr>
              <a:t>の重量</a:t>
            </a:r>
          </a:p>
        </cx:rich>
      </cx:tx>
    </cx:title>
    <cx:plotArea>
      <cx:plotAreaRegion>
        <cx:series layoutId="clusteredColumn" uniqueId="{58E92524-E393-E542-8C44-6CC19000D4E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202</xdr:row>
      <xdr:rowOff>139700</xdr:rowOff>
    </xdr:from>
    <xdr:to>
      <xdr:col>11</xdr:col>
      <xdr:colOff>615950</xdr:colOff>
      <xdr:row>219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0F10DF4B-118C-E169-C004-AFD585ABFA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8500" y="51447700"/>
              <a:ext cx="5073650" cy="424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6</xdr:col>
      <xdr:colOff>336550</xdr:colOff>
      <xdr:row>6</xdr:row>
      <xdr:rowOff>222250</xdr:rowOff>
    </xdr:from>
    <xdr:to>
      <xdr:col>13</xdr:col>
      <xdr:colOff>317500</xdr:colOff>
      <xdr:row>24</xdr:row>
      <xdr:rowOff>88900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E3FB75D-AD33-3172-4099-F70145295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209550</xdr:rowOff>
    </xdr:from>
    <xdr:to>
      <xdr:col>12</xdr:col>
      <xdr:colOff>342900</xdr:colOff>
      <xdr:row>15</xdr:row>
      <xdr:rowOff>158750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EF69B4C-FB9C-E101-ACE0-D72F63EC4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tato_31students" connectionId="1" xr16:uid="{43A59CF4-61C2-4E47-B6C8-E6763B110174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5406-1C9E-FA45-9A5C-845DD2913390}">
  <dimension ref="A1:M211"/>
  <sheetViews>
    <sheetView workbookViewId="0">
      <selection activeCell="C1" sqref="C1:C1048576"/>
    </sheetView>
  </sheetViews>
  <sheetFormatPr baseColWidth="10" defaultRowHeight="20"/>
  <cols>
    <col min="1" max="1" width="6.85546875" bestFit="1" customWidth="1"/>
    <col min="2" max="2" width="5.140625" bestFit="1" customWidth="1"/>
    <col min="3" max="3" width="7" bestFit="1" customWidth="1"/>
    <col min="4" max="4" width="8.5703125" bestFit="1" customWidth="1"/>
    <col min="5" max="5" width="23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>
      <c r="A2" s="1" t="s">
        <v>17</v>
      </c>
      <c r="B2" s="1" t="s">
        <v>5</v>
      </c>
      <c r="C2" s="1">
        <v>123</v>
      </c>
      <c r="D2" s="1" t="s">
        <v>6</v>
      </c>
      <c r="E2" s="1" t="s">
        <v>18</v>
      </c>
      <c r="G2" t="s">
        <v>53</v>
      </c>
      <c r="H2">
        <f>AVERAGE(C2:C211)</f>
        <v>133.15238095238095</v>
      </c>
    </row>
    <row r="3" spans="1:13">
      <c r="A3" s="1" t="s">
        <v>17</v>
      </c>
      <c r="B3" s="1" t="s">
        <v>7</v>
      </c>
      <c r="C3" s="1">
        <v>126</v>
      </c>
      <c r="D3" s="1" t="s">
        <v>6</v>
      </c>
      <c r="E3" s="1" t="s">
        <v>19</v>
      </c>
    </row>
    <row r="4" spans="1:13">
      <c r="A4" s="1" t="s">
        <v>17</v>
      </c>
      <c r="B4" s="1" t="s">
        <v>9</v>
      </c>
      <c r="C4" s="1">
        <v>132</v>
      </c>
      <c r="D4" s="1" t="s">
        <v>8</v>
      </c>
      <c r="E4" s="1" t="s">
        <v>14</v>
      </c>
      <c r="G4" s="1" t="s">
        <v>5</v>
      </c>
      <c r="H4" s="1" t="s">
        <v>7</v>
      </c>
      <c r="I4" s="1" t="s">
        <v>9</v>
      </c>
      <c r="J4" s="1" t="s">
        <v>10</v>
      </c>
      <c r="K4" s="1" t="s">
        <v>13</v>
      </c>
      <c r="L4" s="1" t="s">
        <v>15</v>
      </c>
      <c r="M4" s="1" t="s">
        <v>16</v>
      </c>
    </row>
    <row r="5" spans="1:13">
      <c r="A5" s="1" t="s">
        <v>17</v>
      </c>
      <c r="B5" s="1" t="s">
        <v>10</v>
      </c>
      <c r="C5" s="1">
        <v>125</v>
      </c>
      <c r="D5" s="1" t="s">
        <v>8</v>
      </c>
      <c r="E5" s="1" t="s">
        <v>14</v>
      </c>
      <c r="G5">
        <f>AVERAGEIF(B:B,G4,C:C)</f>
        <v>131.03333333333333</v>
      </c>
      <c r="H5">
        <f>AVERAGEIF(B:B,H4,C:C)</f>
        <v>133.96666666666667</v>
      </c>
      <c r="I5">
        <f>AVERAGEIF(B:B,I4,C:C)</f>
        <v>131.03333333333333</v>
      </c>
      <c r="J5">
        <f>AVERAGEIF(B:B,J4,C:C)</f>
        <v>131.66666666666666</v>
      </c>
      <c r="K5" s="2">
        <f>AVERAGEIF(B:B,K4,C:C)</f>
        <v>131.16666666666666</v>
      </c>
      <c r="L5" s="2">
        <f>AVERAGEIF(B:B,L4,C:C)</f>
        <v>135.5</v>
      </c>
      <c r="M5" s="2">
        <f>AVERAGEIF(B:B,M4,C:C)</f>
        <v>137.69999999999999</v>
      </c>
    </row>
    <row r="6" spans="1:13">
      <c r="A6" s="1" t="s">
        <v>17</v>
      </c>
      <c r="B6" s="1" t="s">
        <v>13</v>
      </c>
      <c r="C6" s="1">
        <v>140</v>
      </c>
      <c r="D6" s="1" t="s">
        <v>11</v>
      </c>
      <c r="E6" s="1" t="s">
        <v>12</v>
      </c>
    </row>
    <row r="7" spans="1:13">
      <c r="A7" s="1" t="s">
        <v>17</v>
      </c>
      <c r="B7" s="1" t="s">
        <v>15</v>
      </c>
      <c r="C7" s="1">
        <v>134</v>
      </c>
      <c r="D7" s="1" t="s">
        <v>8</v>
      </c>
      <c r="E7" s="1" t="s">
        <v>20</v>
      </c>
    </row>
    <row r="8" spans="1:13">
      <c r="A8" s="1" t="s">
        <v>17</v>
      </c>
      <c r="B8" s="1" t="s">
        <v>16</v>
      </c>
      <c r="C8" s="1">
        <v>145</v>
      </c>
      <c r="D8" s="1" t="s">
        <v>11</v>
      </c>
      <c r="E8" s="1" t="s">
        <v>12</v>
      </c>
    </row>
    <row r="9" spans="1:13">
      <c r="A9" s="1" t="s">
        <v>21</v>
      </c>
      <c r="B9" s="1" t="s">
        <v>5</v>
      </c>
      <c r="C9" s="1">
        <v>117</v>
      </c>
      <c r="D9" s="1" t="s">
        <v>6</v>
      </c>
      <c r="E9" s="1" t="s">
        <v>18</v>
      </c>
    </row>
    <row r="10" spans="1:13">
      <c r="A10" s="1" t="s">
        <v>21</v>
      </c>
      <c r="B10" s="1" t="s">
        <v>7</v>
      </c>
      <c r="C10" s="1">
        <v>135</v>
      </c>
      <c r="D10" s="1" t="s">
        <v>8</v>
      </c>
      <c r="E10" s="1" t="s">
        <v>14</v>
      </c>
    </row>
    <row r="11" spans="1:13">
      <c r="A11" s="1" t="s">
        <v>21</v>
      </c>
      <c r="B11" s="1" t="s">
        <v>9</v>
      </c>
      <c r="C11" s="1">
        <v>130</v>
      </c>
      <c r="D11" s="1" t="s">
        <v>6</v>
      </c>
      <c r="E11" s="1" t="s">
        <v>22</v>
      </c>
    </row>
    <row r="12" spans="1:13">
      <c r="A12" s="1" t="s">
        <v>21</v>
      </c>
      <c r="B12" s="1" t="s">
        <v>10</v>
      </c>
      <c r="C12" s="1">
        <v>134</v>
      </c>
      <c r="D12" s="1" t="s">
        <v>8</v>
      </c>
      <c r="E12" s="1" t="s">
        <v>14</v>
      </c>
    </row>
    <row r="13" spans="1:13">
      <c r="A13" s="1" t="s">
        <v>21</v>
      </c>
      <c r="B13" s="1" t="s">
        <v>13</v>
      </c>
      <c r="C13" s="1">
        <v>131</v>
      </c>
      <c r="D13" s="1" t="s">
        <v>8</v>
      </c>
      <c r="E13" s="1" t="s">
        <v>14</v>
      </c>
    </row>
    <row r="14" spans="1:13">
      <c r="A14" s="1" t="s">
        <v>21</v>
      </c>
      <c r="B14" s="1" t="s">
        <v>15</v>
      </c>
      <c r="C14" s="1">
        <v>125</v>
      </c>
      <c r="D14" s="1" t="s">
        <v>6</v>
      </c>
      <c r="E14" s="1" t="s">
        <v>22</v>
      </c>
    </row>
    <row r="15" spans="1:13">
      <c r="A15" s="1" t="s">
        <v>21</v>
      </c>
      <c r="B15" s="1" t="s">
        <v>16</v>
      </c>
      <c r="C15" s="1">
        <v>137</v>
      </c>
      <c r="D15" s="1" t="s">
        <v>11</v>
      </c>
      <c r="E15" s="1" t="s">
        <v>12</v>
      </c>
    </row>
    <row r="16" spans="1:13">
      <c r="A16" s="1" t="s">
        <v>23</v>
      </c>
      <c r="B16" s="1" t="s">
        <v>5</v>
      </c>
      <c r="C16" s="1">
        <v>130</v>
      </c>
      <c r="D16" s="1" t="s">
        <v>8</v>
      </c>
      <c r="E16" s="1" t="s">
        <v>14</v>
      </c>
    </row>
    <row r="17" spans="1:5">
      <c r="A17" s="1" t="s">
        <v>23</v>
      </c>
      <c r="B17" s="1" t="s">
        <v>7</v>
      </c>
      <c r="C17" s="1">
        <v>131</v>
      </c>
      <c r="D17" s="1" t="s">
        <v>6</v>
      </c>
      <c r="E17" s="1" t="s">
        <v>22</v>
      </c>
    </row>
    <row r="18" spans="1:5">
      <c r="A18" s="1" t="s">
        <v>23</v>
      </c>
      <c r="B18" s="1" t="s">
        <v>9</v>
      </c>
      <c r="C18" s="1">
        <v>125</v>
      </c>
      <c r="D18" s="1" t="s">
        <v>8</v>
      </c>
      <c r="E18" s="1" t="s">
        <v>14</v>
      </c>
    </row>
    <row r="19" spans="1:5">
      <c r="A19" s="1" t="s">
        <v>23</v>
      </c>
      <c r="B19" s="1" t="s">
        <v>10</v>
      </c>
      <c r="C19" s="1">
        <v>139</v>
      </c>
      <c r="D19" s="1" t="s">
        <v>8</v>
      </c>
      <c r="E19" s="1" t="s">
        <v>14</v>
      </c>
    </row>
    <row r="20" spans="1:5">
      <c r="A20" s="1" t="s">
        <v>23</v>
      </c>
      <c r="B20" s="1" t="s">
        <v>13</v>
      </c>
      <c r="C20" s="1">
        <v>124</v>
      </c>
      <c r="D20" s="1" t="s">
        <v>6</v>
      </c>
      <c r="E20" s="1" t="s">
        <v>22</v>
      </c>
    </row>
    <row r="21" spans="1:5">
      <c r="A21" s="1" t="s">
        <v>23</v>
      </c>
      <c r="B21" s="1" t="s">
        <v>15</v>
      </c>
      <c r="C21" s="1">
        <v>134</v>
      </c>
      <c r="D21" s="1" t="s">
        <v>11</v>
      </c>
      <c r="E21" s="1" t="s">
        <v>12</v>
      </c>
    </row>
    <row r="22" spans="1:5">
      <c r="A22" s="1" t="s">
        <v>23</v>
      </c>
      <c r="B22" s="1" t="s">
        <v>16</v>
      </c>
      <c r="C22" s="1">
        <v>140</v>
      </c>
      <c r="D22" s="1" t="s">
        <v>11</v>
      </c>
      <c r="E22" s="1" t="s">
        <v>12</v>
      </c>
    </row>
    <row r="23" spans="1:5">
      <c r="A23" s="1" t="s">
        <v>24</v>
      </c>
      <c r="B23" s="1" t="s">
        <v>5</v>
      </c>
      <c r="C23" s="1">
        <v>142</v>
      </c>
      <c r="D23" s="1" t="s">
        <v>11</v>
      </c>
      <c r="E23" s="1" t="s">
        <v>12</v>
      </c>
    </row>
    <row r="24" spans="1:5">
      <c r="A24" s="1" t="s">
        <v>24</v>
      </c>
      <c r="B24" s="1" t="s">
        <v>7</v>
      </c>
      <c r="C24" s="1">
        <v>143</v>
      </c>
      <c r="D24" s="1" t="s">
        <v>11</v>
      </c>
      <c r="E24" s="1" t="s">
        <v>25</v>
      </c>
    </row>
    <row r="25" spans="1:5">
      <c r="A25" s="1" t="s">
        <v>24</v>
      </c>
      <c r="B25" s="1" t="s">
        <v>9</v>
      </c>
      <c r="C25" s="1">
        <v>132</v>
      </c>
      <c r="D25" s="1" t="s">
        <v>6</v>
      </c>
      <c r="E25" s="1" t="s">
        <v>22</v>
      </c>
    </row>
    <row r="26" spans="1:5">
      <c r="A26" s="1" t="s">
        <v>24</v>
      </c>
      <c r="B26" s="1" t="s">
        <v>10</v>
      </c>
      <c r="C26" s="1">
        <v>143</v>
      </c>
      <c r="D26" s="1" t="s">
        <v>11</v>
      </c>
      <c r="E26" s="1" t="s">
        <v>12</v>
      </c>
    </row>
    <row r="27" spans="1:5">
      <c r="A27" s="1" t="s">
        <v>24</v>
      </c>
      <c r="B27" s="1" t="s">
        <v>13</v>
      </c>
      <c r="C27" s="1">
        <v>143</v>
      </c>
      <c r="D27" s="1" t="s">
        <v>11</v>
      </c>
      <c r="E27" s="1" t="s">
        <v>25</v>
      </c>
    </row>
    <row r="28" spans="1:5">
      <c r="A28" s="1" t="s">
        <v>24</v>
      </c>
      <c r="B28" s="1" t="s">
        <v>15</v>
      </c>
      <c r="C28" s="1">
        <v>142</v>
      </c>
      <c r="D28" s="1" t="s">
        <v>11</v>
      </c>
      <c r="E28" s="1" t="s">
        <v>12</v>
      </c>
    </row>
    <row r="29" spans="1:5">
      <c r="A29" s="1" t="s">
        <v>24</v>
      </c>
      <c r="B29" s="1" t="s">
        <v>16</v>
      </c>
      <c r="C29" s="1">
        <v>147</v>
      </c>
      <c r="D29" s="1" t="s">
        <v>11</v>
      </c>
      <c r="E29" s="1" t="s">
        <v>12</v>
      </c>
    </row>
    <row r="30" spans="1:5">
      <c r="A30" s="1" t="s">
        <v>26</v>
      </c>
      <c r="B30" s="1" t="s">
        <v>5</v>
      </c>
      <c r="C30" s="1">
        <v>133</v>
      </c>
      <c r="D30" s="1" t="s">
        <v>8</v>
      </c>
      <c r="E30" s="1" t="s">
        <v>14</v>
      </c>
    </row>
    <row r="31" spans="1:5">
      <c r="A31" s="1" t="s">
        <v>26</v>
      </c>
      <c r="B31" s="1" t="s">
        <v>7</v>
      </c>
      <c r="C31" s="1">
        <v>132</v>
      </c>
      <c r="D31" s="1" t="s">
        <v>8</v>
      </c>
      <c r="E31" s="1" t="s">
        <v>14</v>
      </c>
    </row>
    <row r="32" spans="1:5">
      <c r="A32" s="1" t="s">
        <v>26</v>
      </c>
      <c r="B32" s="1" t="s">
        <v>9</v>
      </c>
      <c r="C32" s="1">
        <v>131</v>
      </c>
      <c r="D32" s="1" t="s">
        <v>6</v>
      </c>
      <c r="E32" s="1" t="s">
        <v>22</v>
      </c>
    </row>
    <row r="33" spans="1:5">
      <c r="A33" s="1" t="s">
        <v>26</v>
      </c>
      <c r="B33" s="1" t="s">
        <v>10</v>
      </c>
      <c r="C33" s="1">
        <v>140</v>
      </c>
      <c r="D33" s="1" t="s">
        <v>11</v>
      </c>
      <c r="E33" s="1" t="s">
        <v>12</v>
      </c>
    </row>
    <row r="34" spans="1:5">
      <c r="A34" s="1" t="s">
        <v>26</v>
      </c>
      <c r="B34" s="1" t="s">
        <v>13</v>
      </c>
      <c r="C34" s="1">
        <v>122</v>
      </c>
      <c r="D34" s="1" t="s">
        <v>6</v>
      </c>
      <c r="E34" s="1" t="s">
        <v>18</v>
      </c>
    </row>
    <row r="35" spans="1:5">
      <c r="A35" s="1" t="s">
        <v>26</v>
      </c>
      <c r="B35" s="1" t="s">
        <v>15</v>
      </c>
      <c r="C35" s="1">
        <v>131</v>
      </c>
      <c r="D35" s="1" t="s">
        <v>11</v>
      </c>
      <c r="E35" s="1" t="s">
        <v>12</v>
      </c>
    </row>
    <row r="36" spans="1:5">
      <c r="A36" s="1" t="s">
        <v>26</v>
      </c>
      <c r="B36" s="1" t="s">
        <v>16</v>
      </c>
      <c r="C36" s="1">
        <v>137</v>
      </c>
      <c r="D36" s="1" t="s">
        <v>8</v>
      </c>
      <c r="E36" s="1" t="s">
        <v>14</v>
      </c>
    </row>
    <row r="37" spans="1:5">
      <c r="A37" s="1" t="s">
        <v>27</v>
      </c>
      <c r="B37" s="1" t="s">
        <v>5</v>
      </c>
      <c r="C37" s="1">
        <v>136</v>
      </c>
      <c r="D37" s="1" t="s">
        <v>8</v>
      </c>
      <c r="E37" s="1" t="s">
        <v>14</v>
      </c>
    </row>
    <row r="38" spans="1:5">
      <c r="A38" s="1" t="s">
        <v>27</v>
      </c>
      <c r="B38" s="1" t="s">
        <v>7</v>
      </c>
      <c r="C38" s="1">
        <v>134</v>
      </c>
      <c r="D38" s="1" t="s">
        <v>6</v>
      </c>
      <c r="E38" s="1" t="s">
        <v>22</v>
      </c>
    </row>
    <row r="39" spans="1:5">
      <c r="A39" s="1" t="s">
        <v>27</v>
      </c>
      <c r="B39" s="1" t="s">
        <v>9</v>
      </c>
      <c r="C39" s="1">
        <v>126</v>
      </c>
      <c r="D39" s="1" t="s">
        <v>6</v>
      </c>
      <c r="E39" s="1" t="s">
        <v>22</v>
      </c>
    </row>
    <row r="40" spans="1:5">
      <c r="A40" s="1" t="s">
        <v>27</v>
      </c>
      <c r="B40" s="1" t="s">
        <v>10</v>
      </c>
      <c r="C40" s="1">
        <v>132</v>
      </c>
      <c r="D40" s="1" t="s">
        <v>8</v>
      </c>
      <c r="E40" s="1" t="s">
        <v>14</v>
      </c>
    </row>
    <row r="41" spans="1:5">
      <c r="A41" s="1" t="s">
        <v>27</v>
      </c>
      <c r="B41" s="1" t="s">
        <v>13</v>
      </c>
      <c r="C41" s="1">
        <v>130</v>
      </c>
      <c r="D41" s="1" t="s">
        <v>8</v>
      </c>
      <c r="E41" s="1" t="s">
        <v>14</v>
      </c>
    </row>
    <row r="42" spans="1:5">
      <c r="A42" s="1" t="s">
        <v>27</v>
      </c>
      <c r="B42" s="1" t="s">
        <v>15</v>
      </c>
      <c r="C42" s="1">
        <v>138</v>
      </c>
      <c r="D42" s="1" t="s">
        <v>8</v>
      </c>
      <c r="E42" s="1" t="s">
        <v>20</v>
      </c>
    </row>
    <row r="43" spans="1:5">
      <c r="A43" s="1" t="s">
        <v>27</v>
      </c>
      <c r="B43" s="1" t="s">
        <v>16</v>
      </c>
      <c r="C43" s="1">
        <v>141</v>
      </c>
      <c r="D43" s="1" t="s">
        <v>11</v>
      </c>
      <c r="E43" s="1" t="s">
        <v>12</v>
      </c>
    </row>
    <row r="44" spans="1:5">
      <c r="A44" s="1" t="s">
        <v>28</v>
      </c>
      <c r="B44" s="1" t="s">
        <v>5</v>
      </c>
      <c r="C44" s="1">
        <v>125</v>
      </c>
      <c r="D44" s="1" t="s">
        <v>6</v>
      </c>
      <c r="E44" s="1" t="s">
        <v>22</v>
      </c>
    </row>
    <row r="45" spans="1:5">
      <c r="A45" s="1" t="s">
        <v>28</v>
      </c>
      <c r="B45" s="1" t="s">
        <v>7</v>
      </c>
      <c r="C45" s="1">
        <v>144</v>
      </c>
      <c r="D45" s="1" t="s">
        <v>11</v>
      </c>
      <c r="E45" s="1" t="s">
        <v>12</v>
      </c>
    </row>
    <row r="46" spans="1:5">
      <c r="A46" s="1" t="s">
        <v>28</v>
      </c>
      <c r="B46" s="1" t="s">
        <v>9</v>
      </c>
      <c r="C46" s="1">
        <v>134</v>
      </c>
      <c r="D46" s="1" t="s">
        <v>8</v>
      </c>
      <c r="E46" s="1" t="s">
        <v>14</v>
      </c>
    </row>
    <row r="47" spans="1:5">
      <c r="A47" s="1" t="s">
        <v>28</v>
      </c>
      <c r="B47" s="1" t="s">
        <v>10</v>
      </c>
      <c r="C47" s="1">
        <v>131</v>
      </c>
      <c r="D47" s="1" t="s">
        <v>8</v>
      </c>
      <c r="E47" s="1" t="s">
        <v>14</v>
      </c>
    </row>
    <row r="48" spans="1:5">
      <c r="A48" s="1" t="s">
        <v>28</v>
      </c>
      <c r="B48" s="1" t="s">
        <v>13</v>
      </c>
      <c r="C48" s="1">
        <v>129</v>
      </c>
      <c r="D48" s="1" t="s">
        <v>6</v>
      </c>
      <c r="E48" s="1" t="s">
        <v>22</v>
      </c>
    </row>
    <row r="49" spans="1:5">
      <c r="A49" s="1" t="s">
        <v>28</v>
      </c>
      <c r="B49" s="1" t="s">
        <v>15</v>
      </c>
      <c r="C49" s="1">
        <v>136</v>
      </c>
      <c r="D49" s="1" t="s">
        <v>11</v>
      </c>
      <c r="E49" s="1" t="s">
        <v>12</v>
      </c>
    </row>
    <row r="50" spans="1:5">
      <c r="A50" s="1" t="s">
        <v>28</v>
      </c>
      <c r="B50" s="1" t="s">
        <v>16</v>
      </c>
      <c r="C50" s="1">
        <v>128</v>
      </c>
      <c r="D50" s="1" t="s">
        <v>6</v>
      </c>
      <c r="E50" s="1" t="s">
        <v>22</v>
      </c>
    </row>
    <row r="51" spans="1:5">
      <c r="A51" s="1" t="s">
        <v>29</v>
      </c>
      <c r="B51" s="1" t="s">
        <v>5</v>
      </c>
      <c r="C51" s="1">
        <v>132</v>
      </c>
      <c r="D51" s="1" t="s">
        <v>8</v>
      </c>
      <c r="E51" s="1" t="s">
        <v>20</v>
      </c>
    </row>
    <row r="52" spans="1:5">
      <c r="A52" s="1" t="s">
        <v>29</v>
      </c>
      <c r="B52" s="1" t="s">
        <v>7</v>
      </c>
      <c r="C52" s="1">
        <v>132</v>
      </c>
      <c r="D52" s="1" t="s">
        <v>8</v>
      </c>
      <c r="E52" s="1" t="s">
        <v>14</v>
      </c>
    </row>
    <row r="53" spans="1:5">
      <c r="A53" s="1" t="s">
        <v>29</v>
      </c>
      <c r="B53" s="1" t="s">
        <v>9</v>
      </c>
      <c r="C53" s="1">
        <v>134</v>
      </c>
      <c r="D53" s="1" t="s">
        <v>8</v>
      </c>
      <c r="E53" s="1" t="s">
        <v>14</v>
      </c>
    </row>
    <row r="54" spans="1:5">
      <c r="A54" s="1" t="s">
        <v>29</v>
      </c>
      <c r="B54" s="1" t="s">
        <v>10</v>
      </c>
      <c r="C54" s="1">
        <v>149</v>
      </c>
      <c r="D54" s="1" t="s">
        <v>11</v>
      </c>
      <c r="E54" s="1" t="s">
        <v>30</v>
      </c>
    </row>
    <row r="55" spans="1:5">
      <c r="A55" s="1" t="s">
        <v>29</v>
      </c>
      <c r="B55" s="1" t="s">
        <v>13</v>
      </c>
      <c r="C55" s="1">
        <v>132</v>
      </c>
      <c r="D55" s="1" t="s">
        <v>8</v>
      </c>
      <c r="E55" s="1" t="s">
        <v>14</v>
      </c>
    </row>
    <row r="56" spans="1:5">
      <c r="A56" s="1" t="s">
        <v>29</v>
      </c>
      <c r="B56" s="1" t="s">
        <v>15</v>
      </c>
      <c r="C56" s="1">
        <v>139</v>
      </c>
      <c r="D56" s="1" t="s">
        <v>11</v>
      </c>
      <c r="E56" s="1" t="s">
        <v>12</v>
      </c>
    </row>
    <row r="57" spans="1:5">
      <c r="A57" s="1" t="s">
        <v>29</v>
      </c>
      <c r="B57" s="1" t="s">
        <v>16</v>
      </c>
      <c r="C57" s="1">
        <v>139</v>
      </c>
      <c r="D57" s="1" t="s">
        <v>11</v>
      </c>
      <c r="E57" s="1" t="s">
        <v>12</v>
      </c>
    </row>
    <row r="58" spans="1:5">
      <c r="A58" s="1" t="s">
        <v>31</v>
      </c>
      <c r="B58" s="1" t="s">
        <v>5</v>
      </c>
      <c r="C58" s="1">
        <v>133</v>
      </c>
      <c r="D58" s="1" t="s">
        <v>11</v>
      </c>
      <c r="E58" s="1" t="s">
        <v>12</v>
      </c>
    </row>
    <row r="59" spans="1:5">
      <c r="A59" s="1" t="s">
        <v>31</v>
      </c>
      <c r="B59" s="1" t="s">
        <v>7</v>
      </c>
      <c r="C59" s="1">
        <v>133</v>
      </c>
      <c r="D59" s="1" t="s">
        <v>6</v>
      </c>
      <c r="E59" s="1" t="s">
        <v>22</v>
      </c>
    </row>
    <row r="60" spans="1:5">
      <c r="A60" s="1" t="s">
        <v>31</v>
      </c>
      <c r="B60" s="1" t="s">
        <v>9</v>
      </c>
      <c r="C60" s="1">
        <v>127</v>
      </c>
      <c r="D60" s="1" t="s">
        <v>8</v>
      </c>
      <c r="E60" s="1" t="s">
        <v>14</v>
      </c>
    </row>
    <row r="61" spans="1:5">
      <c r="A61" s="1" t="s">
        <v>31</v>
      </c>
      <c r="B61" s="1" t="s">
        <v>10</v>
      </c>
      <c r="C61" s="1">
        <v>119</v>
      </c>
      <c r="D61" s="1" t="s">
        <v>6</v>
      </c>
      <c r="E61" s="1" t="s">
        <v>18</v>
      </c>
    </row>
    <row r="62" spans="1:5">
      <c r="A62" s="1" t="s">
        <v>31</v>
      </c>
      <c r="B62" s="1" t="s">
        <v>13</v>
      </c>
      <c r="C62" s="1">
        <v>131</v>
      </c>
      <c r="D62" s="1" t="s">
        <v>6</v>
      </c>
      <c r="E62" s="1" t="s">
        <v>22</v>
      </c>
    </row>
    <row r="63" spans="1:5">
      <c r="A63" s="1" t="s">
        <v>31</v>
      </c>
      <c r="B63" s="1" t="s">
        <v>15</v>
      </c>
      <c r="C63" s="1">
        <v>129</v>
      </c>
      <c r="D63" s="1" t="s">
        <v>8</v>
      </c>
      <c r="E63" s="1" t="s">
        <v>14</v>
      </c>
    </row>
    <row r="64" spans="1:5">
      <c r="A64" s="1" t="s">
        <v>31</v>
      </c>
      <c r="B64" s="1" t="s">
        <v>16</v>
      </c>
      <c r="C64" s="1">
        <v>132</v>
      </c>
      <c r="D64" s="1" t="s">
        <v>8</v>
      </c>
      <c r="E64" s="1" t="s">
        <v>14</v>
      </c>
    </row>
    <row r="65" spans="1:5">
      <c r="A65" s="1" t="s">
        <v>32</v>
      </c>
      <c r="B65" s="1" t="s">
        <v>5</v>
      </c>
      <c r="C65" s="1">
        <v>154</v>
      </c>
      <c r="D65" s="1" t="s">
        <v>11</v>
      </c>
      <c r="E65" s="1" t="s">
        <v>30</v>
      </c>
    </row>
    <row r="66" spans="1:5">
      <c r="A66" s="1" t="s">
        <v>32</v>
      </c>
      <c r="B66" s="1" t="s">
        <v>7</v>
      </c>
      <c r="C66" s="1">
        <v>110</v>
      </c>
      <c r="D66" s="1" t="s">
        <v>6</v>
      </c>
      <c r="E66" s="1" t="s">
        <v>18</v>
      </c>
    </row>
    <row r="67" spans="1:5">
      <c r="A67" s="1" t="s">
        <v>32</v>
      </c>
      <c r="B67" s="1" t="s">
        <v>9</v>
      </c>
      <c r="C67" s="1">
        <v>138</v>
      </c>
      <c r="D67" s="1" t="s">
        <v>8</v>
      </c>
      <c r="E67" s="1" t="s">
        <v>14</v>
      </c>
    </row>
    <row r="68" spans="1:5">
      <c r="A68" s="1" t="s">
        <v>32</v>
      </c>
      <c r="B68" s="1" t="s">
        <v>10</v>
      </c>
      <c r="C68" s="1">
        <v>125</v>
      </c>
      <c r="D68" s="1" t="s">
        <v>6</v>
      </c>
      <c r="E68" s="1" t="s">
        <v>22</v>
      </c>
    </row>
    <row r="69" spans="1:5">
      <c r="A69" s="1" t="s">
        <v>32</v>
      </c>
      <c r="B69" s="1" t="s">
        <v>13</v>
      </c>
      <c r="C69" s="1">
        <v>134</v>
      </c>
      <c r="D69" s="1" t="s">
        <v>8</v>
      </c>
      <c r="E69" s="1" t="s">
        <v>14</v>
      </c>
    </row>
    <row r="70" spans="1:5">
      <c r="A70" s="1" t="s">
        <v>32</v>
      </c>
      <c r="B70" s="1" t="s">
        <v>15</v>
      </c>
      <c r="C70" s="1">
        <v>139</v>
      </c>
      <c r="D70" s="1" t="s">
        <v>11</v>
      </c>
      <c r="E70" s="1" t="s">
        <v>12</v>
      </c>
    </row>
    <row r="71" spans="1:5">
      <c r="A71" s="1" t="s">
        <v>32</v>
      </c>
      <c r="B71" s="1" t="s">
        <v>16</v>
      </c>
      <c r="C71" s="1">
        <v>128</v>
      </c>
      <c r="D71" s="1" t="s">
        <v>6</v>
      </c>
      <c r="E71" s="1" t="s">
        <v>22</v>
      </c>
    </row>
    <row r="72" spans="1:5">
      <c r="A72" s="1" t="s">
        <v>33</v>
      </c>
      <c r="B72" s="1" t="s">
        <v>5</v>
      </c>
      <c r="C72" s="1">
        <v>129</v>
      </c>
      <c r="D72" s="1" t="s">
        <v>6</v>
      </c>
      <c r="E72" s="1" t="s">
        <v>19</v>
      </c>
    </row>
    <row r="73" spans="1:5">
      <c r="A73" s="1" t="s">
        <v>33</v>
      </c>
      <c r="B73" s="1" t="s">
        <v>7</v>
      </c>
      <c r="C73" s="1">
        <v>133</v>
      </c>
      <c r="D73" s="1" t="s">
        <v>8</v>
      </c>
      <c r="E73" s="1" t="s">
        <v>14</v>
      </c>
    </row>
    <row r="74" spans="1:5">
      <c r="A74" s="1" t="s">
        <v>33</v>
      </c>
      <c r="B74" s="1" t="s">
        <v>9</v>
      </c>
      <c r="C74" s="1">
        <v>140</v>
      </c>
      <c r="D74" s="1" t="s">
        <v>11</v>
      </c>
      <c r="E74" s="1" t="s">
        <v>12</v>
      </c>
    </row>
    <row r="75" spans="1:5">
      <c r="A75" s="1" t="s">
        <v>33</v>
      </c>
      <c r="B75" s="1" t="s">
        <v>10</v>
      </c>
      <c r="C75" s="1">
        <v>129</v>
      </c>
      <c r="D75" s="1" t="s">
        <v>8</v>
      </c>
      <c r="E75" s="1" t="s">
        <v>14</v>
      </c>
    </row>
    <row r="76" spans="1:5">
      <c r="A76" s="1" t="s">
        <v>33</v>
      </c>
      <c r="B76" s="1" t="s">
        <v>13</v>
      </c>
      <c r="C76" s="1">
        <v>135</v>
      </c>
      <c r="D76" s="1" t="s">
        <v>8</v>
      </c>
      <c r="E76" s="1" t="s">
        <v>14</v>
      </c>
    </row>
    <row r="77" spans="1:5">
      <c r="A77" s="1" t="s">
        <v>33</v>
      </c>
      <c r="B77" s="1" t="s">
        <v>15</v>
      </c>
      <c r="C77" s="1">
        <v>128</v>
      </c>
      <c r="D77" s="1" t="s">
        <v>6</v>
      </c>
      <c r="E77" s="1" t="s">
        <v>22</v>
      </c>
    </row>
    <row r="78" spans="1:5">
      <c r="A78" s="1" t="s">
        <v>33</v>
      </c>
      <c r="B78" s="1" t="s">
        <v>16</v>
      </c>
      <c r="C78" s="1">
        <v>138</v>
      </c>
      <c r="D78" s="1" t="s">
        <v>11</v>
      </c>
      <c r="E78" s="1" t="s">
        <v>25</v>
      </c>
    </row>
    <row r="79" spans="1:5">
      <c r="A79" s="1" t="s">
        <v>34</v>
      </c>
      <c r="B79" s="1" t="s">
        <v>5</v>
      </c>
      <c r="C79" s="1">
        <v>127</v>
      </c>
      <c r="D79" s="1" t="s">
        <v>6</v>
      </c>
      <c r="E79" s="1" t="s">
        <v>22</v>
      </c>
    </row>
    <row r="80" spans="1:5">
      <c r="A80" s="1" t="s">
        <v>34</v>
      </c>
      <c r="B80" s="1" t="s">
        <v>7</v>
      </c>
      <c r="C80" s="1">
        <v>142</v>
      </c>
      <c r="D80" s="1" t="s">
        <v>11</v>
      </c>
      <c r="E80" s="1" t="s">
        <v>12</v>
      </c>
    </row>
    <row r="81" spans="1:5">
      <c r="A81" s="1" t="s">
        <v>34</v>
      </c>
      <c r="B81" s="1" t="s">
        <v>9</v>
      </c>
      <c r="C81" s="1">
        <v>118</v>
      </c>
      <c r="D81" s="1" t="s">
        <v>6</v>
      </c>
      <c r="E81" s="1" t="s">
        <v>18</v>
      </c>
    </row>
    <row r="82" spans="1:5">
      <c r="A82" s="1" t="s">
        <v>34</v>
      </c>
      <c r="B82" s="1" t="s">
        <v>10</v>
      </c>
      <c r="C82" s="1">
        <v>129</v>
      </c>
      <c r="D82" s="1" t="s">
        <v>8</v>
      </c>
      <c r="E82" s="1" t="s">
        <v>14</v>
      </c>
    </row>
    <row r="83" spans="1:5">
      <c r="A83" s="1" t="s">
        <v>34</v>
      </c>
      <c r="B83" s="1" t="s">
        <v>13</v>
      </c>
      <c r="C83" s="1">
        <v>132</v>
      </c>
      <c r="D83" s="1" t="s">
        <v>11</v>
      </c>
      <c r="E83" s="1" t="s">
        <v>12</v>
      </c>
    </row>
    <row r="84" spans="1:5">
      <c r="A84" s="1" t="s">
        <v>34</v>
      </c>
      <c r="B84" s="1" t="s">
        <v>15</v>
      </c>
      <c r="C84" s="1">
        <v>141</v>
      </c>
      <c r="D84" s="1" t="s">
        <v>11</v>
      </c>
      <c r="E84" s="1" t="s">
        <v>12</v>
      </c>
    </row>
    <row r="85" spans="1:5">
      <c r="A85" s="1" t="s">
        <v>34</v>
      </c>
      <c r="B85" s="1" t="s">
        <v>16</v>
      </c>
      <c r="C85" s="1">
        <v>157</v>
      </c>
      <c r="D85" s="1" t="s">
        <v>11</v>
      </c>
      <c r="E85" s="1" t="s">
        <v>30</v>
      </c>
    </row>
    <row r="86" spans="1:5">
      <c r="A86" s="1" t="s">
        <v>35</v>
      </c>
      <c r="B86" s="1" t="s">
        <v>5</v>
      </c>
      <c r="C86" s="1">
        <v>129</v>
      </c>
      <c r="D86" s="1" t="s">
        <v>11</v>
      </c>
      <c r="E86" s="1" t="s">
        <v>12</v>
      </c>
    </row>
    <row r="87" spans="1:5">
      <c r="A87" s="1" t="s">
        <v>35</v>
      </c>
      <c r="B87" s="1" t="s">
        <v>7</v>
      </c>
      <c r="C87" s="1">
        <v>137</v>
      </c>
      <c r="D87" s="1" t="s">
        <v>11</v>
      </c>
      <c r="E87" s="1" t="s">
        <v>12</v>
      </c>
    </row>
    <row r="88" spans="1:5">
      <c r="A88" s="1" t="s">
        <v>35</v>
      </c>
      <c r="B88" s="1" t="s">
        <v>9</v>
      </c>
      <c r="C88" s="1">
        <v>132</v>
      </c>
      <c r="D88" s="1" t="s">
        <v>8</v>
      </c>
      <c r="E88" s="1" t="s">
        <v>14</v>
      </c>
    </row>
    <row r="89" spans="1:5">
      <c r="A89" s="1" t="s">
        <v>35</v>
      </c>
      <c r="B89" s="1" t="s">
        <v>10</v>
      </c>
      <c r="C89" s="1">
        <v>131</v>
      </c>
      <c r="D89" s="1" t="s">
        <v>8</v>
      </c>
      <c r="E89" s="1" t="s">
        <v>14</v>
      </c>
    </row>
    <row r="90" spans="1:5">
      <c r="A90" s="1" t="s">
        <v>35</v>
      </c>
      <c r="B90" s="1" t="s">
        <v>13</v>
      </c>
      <c r="C90" s="1">
        <v>127</v>
      </c>
      <c r="D90" s="1" t="s">
        <v>6</v>
      </c>
      <c r="E90" s="1" t="s">
        <v>22</v>
      </c>
    </row>
    <row r="91" spans="1:5">
      <c r="A91" s="1" t="s">
        <v>35</v>
      </c>
      <c r="B91" s="1" t="s">
        <v>15</v>
      </c>
      <c r="C91" s="1">
        <v>135</v>
      </c>
      <c r="D91" s="1" t="s">
        <v>8</v>
      </c>
      <c r="E91" s="1" t="s">
        <v>14</v>
      </c>
    </row>
    <row r="92" spans="1:5">
      <c r="A92" s="1" t="s">
        <v>35</v>
      </c>
      <c r="B92" s="1" t="s">
        <v>16</v>
      </c>
      <c r="C92" s="1">
        <v>134</v>
      </c>
      <c r="D92" s="1" t="s">
        <v>8</v>
      </c>
      <c r="E92" s="1" t="s">
        <v>14</v>
      </c>
    </row>
    <row r="93" spans="1:5">
      <c r="A93" s="1" t="s">
        <v>36</v>
      </c>
      <c r="B93" s="1" t="s">
        <v>5</v>
      </c>
      <c r="C93" s="1">
        <v>127</v>
      </c>
      <c r="D93" s="1" t="s">
        <v>6</v>
      </c>
      <c r="E93" s="1" t="s">
        <v>22</v>
      </c>
    </row>
    <row r="94" spans="1:5">
      <c r="A94" s="1" t="s">
        <v>36</v>
      </c>
      <c r="B94" s="1" t="s">
        <v>7</v>
      </c>
      <c r="C94" s="1">
        <v>132</v>
      </c>
      <c r="D94" s="1" t="s">
        <v>8</v>
      </c>
      <c r="E94" s="1" t="s">
        <v>14</v>
      </c>
    </row>
    <row r="95" spans="1:5">
      <c r="A95" s="1" t="s">
        <v>36</v>
      </c>
      <c r="B95" s="1" t="s">
        <v>9</v>
      </c>
      <c r="C95" s="1">
        <v>124</v>
      </c>
      <c r="D95" s="1" t="s">
        <v>8</v>
      </c>
      <c r="E95" s="1" t="s">
        <v>14</v>
      </c>
    </row>
    <row r="96" spans="1:5">
      <c r="A96" s="1" t="s">
        <v>36</v>
      </c>
      <c r="B96" s="1" t="s">
        <v>10</v>
      </c>
      <c r="C96" s="1">
        <v>129</v>
      </c>
      <c r="D96" s="1" t="s">
        <v>8</v>
      </c>
      <c r="E96" s="1" t="s">
        <v>14</v>
      </c>
    </row>
    <row r="97" spans="1:5">
      <c r="A97" s="1" t="s">
        <v>36</v>
      </c>
      <c r="B97" s="1" t="s">
        <v>13</v>
      </c>
      <c r="C97" s="1">
        <v>132</v>
      </c>
      <c r="D97" s="1" t="s">
        <v>8</v>
      </c>
      <c r="E97" s="1" t="s">
        <v>14</v>
      </c>
    </row>
    <row r="98" spans="1:5">
      <c r="A98" s="1" t="s">
        <v>36</v>
      </c>
      <c r="B98" s="1" t="s">
        <v>15</v>
      </c>
      <c r="C98" s="1">
        <v>140</v>
      </c>
      <c r="D98" s="1" t="s">
        <v>8</v>
      </c>
      <c r="E98" s="1" t="s">
        <v>14</v>
      </c>
    </row>
    <row r="99" spans="1:5">
      <c r="A99" s="1" t="s">
        <v>36</v>
      </c>
      <c r="B99" s="1" t="s">
        <v>16</v>
      </c>
      <c r="C99" s="1">
        <v>132</v>
      </c>
      <c r="D99" s="1" t="s">
        <v>8</v>
      </c>
      <c r="E99" s="1" t="s">
        <v>14</v>
      </c>
    </row>
    <row r="100" spans="1:5">
      <c r="A100" s="1" t="s">
        <v>37</v>
      </c>
      <c r="B100" s="1" t="s">
        <v>5</v>
      </c>
      <c r="C100" s="1">
        <v>135</v>
      </c>
      <c r="D100" s="1" t="s">
        <v>6</v>
      </c>
      <c r="E100" s="1" t="s">
        <v>19</v>
      </c>
    </row>
    <row r="101" spans="1:5">
      <c r="A101" s="1" t="s">
        <v>37</v>
      </c>
      <c r="B101" s="1" t="s">
        <v>7</v>
      </c>
      <c r="C101" s="1">
        <v>141</v>
      </c>
      <c r="D101" s="1" t="s">
        <v>11</v>
      </c>
      <c r="E101" s="1" t="s">
        <v>12</v>
      </c>
    </row>
    <row r="102" spans="1:5">
      <c r="A102" s="1" t="s">
        <v>37</v>
      </c>
      <c r="B102" s="1" t="s">
        <v>9</v>
      </c>
      <c r="C102" s="1">
        <v>132</v>
      </c>
      <c r="D102" s="1" t="s">
        <v>6</v>
      </c>
      <c r="E102" s="1" t="s">
        <v>22</v>
      </c>
    </row>
    <row r="103" spans="1:5">
      <c r="A103" s="1" t="s">
        <v>37</v>
      </c>
      <c r="B103" s="1" t="s">
        <v>10</v>
      </c>
      <c r="C103" s="1">
        <v>133</v>
      </c>
      <c r="D103" s="1" t="s">
        <v>11</v>
      </c>
      <c r="E103" s="1" t="s">
        <v>12</v>
      </c>
    </row>
    <row r="104" spans="1:5">
      <c r="A104" s="1" t="s">
        <v>37</v>
      </c>
      <c r="B104" s="1" t="s">
        <v>13</v>
      </c>
      <c r="C104" s="1">
        <v>134</v>
      </c>
      <c r="D104" s="1" t="s">
        <v>8</v>
      </c>
      <c r="E104" s="1" t="s">
        <v>14</v>
      </c>
    </row>
    <row r="105" spans="1:5">
      <c r="A105" s="1" t="s">
        <v>37</v>
      </c>
      <c r="B105" s="1" t="s">
        <v>15</v>
      </c>
      <c r="C105" s="1">
        <v>140</v>
      </c>
      <c r="D105" s="1" t="s">
        <v>8</v>
      </c>
      <c r="E105" s="1" t="s">
        <v>14</v>
      </c>
    </row>
    <row r="106" spans="1:5">
      <c r="A106" s="1" t="s">
        <v>37</v>
      </c>
      <c r="B106" s="1" t="s">
        <v>16</v>
      </c>
      <c r="C106" s="1">
        <v>133</v>
      </c>
      <c r="D106" s="1" t="s">
        <v>8</v>
      </c>
      <c r="E106" s="1" t="s">
        <v>14</v>
      </c>
    </row>
    <row r="107" spans="1:5">
      <c r="A107" s="1" t="s">
        <v>38</v>
      </c>
      <c r="B107" s="1" t="s">
        <v>5</v>
      </c>
      <c r="C107" s="1">
        <v>134</v>
      </c>
      <c r="D107" s="1" t="s">
        <v>8</v>
      </c>
      <c r="E107" s="1" t="s">
        <v>14</v>
      </c>
    </row>
    <row r="108" spans="1:5">
      <c r="A108" s="1" t="s">
        <v>38</v>
      </c>
      <c r="B108" s="1" t="s">
        <v>7</v>
      </c>
      <c r="C108" s="1">
        <v>129</v>
      </c>
      <c r="D108" s="1" t="s">
        <v>6</v>
      </c>
      <c r="E108" s="1" t="s">
        <v>22</v>
      </c>
    </row>
    <row r="109" spans="1:5">
      <c r="A109" s="1" t="s">
        <v>38</v>
      </c>
      <c r="B109" s="1" t="s">
        <v>9</v>
      </c>
      <c r="C109" s="1">
        <v>133</v>
      </c>
      <c r="D109" s="1" t="s">
        <v>6</v>
      </c>
      <c r="E109" s="1" t="s">
        <v>22</v>
      </c>
    </row>
    <row r="110" spans="1:5">
      <c r="A110" s="1" t="s">
        <v>38</v>
      </c>
      <c r="B110" s="1" t="s">
        <v>10</v>
      </c>
      <c r="C110" s="1">
        <v>130</v>
      </c>
      <c r="D110" s="1" t="s">
        <v>6</v>
      </c>
      <c r="E110" s="1" t="s">
        <v>22</v>
      </c>
    </row>
    <row r="111" spans="1:5">
      <c r="A111" s="1" t="s">
        <v>38</v>
      </c>
      <c r="B111" s="1" t="s">
        <v>13</v>
      </c>
      <c r="C111" s="1">
        <v>132</v>
      </c>
      <c r="D111" s="1" t="s">
        <v>8</v>
      </c>
      <c r="E111" s="1" t="s">
        <v>14</v>
      </c>
    </row>
    <row r="112" spans="1:5">
      <c r="A112" s="1" t="s">
        <v>38</v>
      </c>
      <c r="B112" s="1" t="s">
        <v>15</v>
      </c>
      <c r="C112" s="1">
        <v>137</v>
      </c>
      <c r="D112" s="1" t="s">
        <v>8</v>
      </c>
      <c r="E112" s="1" t="s">
        <v>14</v>
      </c>
    </row>
    <row r="113" spans="1:5">
      <c r="A113" s="1" t="s">
        <v>38</v>
      </c>
      <c r="B113" s="1" t="s">
        <v>16</v>
      </c>
      <c r="C113" s="1">
        <v>142</v>
      </c>
      <c r="D113" s="1" t="s">
        <v>8</v>
      </c>
      <c r="E113" s="1" t="s">
        <v>14</v>
      </c>
    </row>
    <row r="114" spans="1:5">
      <c r="A114" s="1" t="s">
        <v>39</v>
      </c>
      <c r="B114" s="1" t="s">
        <v>5</v>
      </c>
      <c r="C114" s="1">
        <v>122</v>
      </c>
      <c r="D114" s="1" t="s">
        <v>6</v>
      </c>
      <c r="E114" s="1" t="s">
        <v>18</v>
      </c>
    </row>
    <row r="115" spans="1:5">
      <c r="A115" s="1" t="s">
        <v>39</v>
      </c>
      <c r="B115" s="1" t="s">
        <v>7</v>
      </c>
      <c r="C115" s="1">
        <v>128</v>
      </c>
      <c r="D115" s="1" t="s">
        <v>8</v>
      </c>
      <c r="E115" s="1" t="s">
        <v>14</v>
      </c>
    </row>
    <row r="116" spans="1:5">
      <c r="A116" s="1" t="s">
        <v>39</v>
      </c>
      <c r="B116" s="1" t="s">
        <v>9</v>
      </c>
      <c r="C116" s="1">
        <v>128</v>
      </c>
      <c r="D116" s="1" t="s">
        <v>8</v>
      </c>
      <c r="E116" s="1" t="s">
        <v>14</v>
      </c>
    </row>
    <row r="117" spans="1:5">
      <c r="A117" s="1" t="s">
        <v>39</v>
      </c>
      <c r="B117" s="1" t="s">
        <v>10</v>
      </c>
      <c r="C117" s="1">
        <v>125</v>
      </c>
      <c r="D117" s="1" t="s">
        <v>6</v>
      </c>
      <c r="E117" s="1" t="s">
        <v>22</v>
      </c>
    </row>
    <row r="118" spans="1:5">
      <c r="A118" s="1" t="s">
        <v>39</v>
      </c>
      <c r="B118" s="1" t="s">
        <v>13</v>
      </c>
      <c r="C118" s="1">
        <v>128</v>
      </c>
      <c r="D118" s="1" t="s">
        <v>6</v>
      </c>
      <c r="E118" s="1" t="s">
        <v>22</v>
      </c>
    </row>
    <row r="119" spans="1:5">
      <c r="A119" s="1" t="s">
        <v>39</v>
      </c>
      <c r="B119" s="1" t="s">
        <v>15</v>
      </c>
      <c r="C119" s="1">
        <v>126</v>
      </c>
      <c r="D119" s="1" t="s">
        <v>6</v>
      </c>
      <c r="E119" s="1" t="s">
        <v>22</v>
      </c>
    </row>
    <row r="120" spans="1:5">
      <c r="A120" s="1" t="s">
        <v>39</v>
      </c>
      <c r="B120" s="1" t="s">
        <v>16</v>
      </c>
      <c r="C120" s="1">
        <v>130</v>
      </c>
      <c r="D120" s="1" t="s">
        <v>8</v>
      </c>
      <c r="E120" s="1" t="s">
        <v>14</v>
      </c>
    </row>
    <row r="121" spans="1:5">
      <c r="A121" s="1" t="s">
        <v>40</v>
      </c>
      <c r="B121" s="1" t="s">
        <v>5</v>
      </c>
      <c r="C121" s="1">
        <v>136</v>
      </c>
      <c r="D121" s="1" t="s">
        <v>6</v>
      </c>
      <c r="E121" s="1" t="s">
        <v>22</v>
      </c>
    </row>
    <row r="122" spans="1:5">
      <c r="A122" s="1" t="s">
        <v>40</v>
      </c>
      <c r="B122" s="1" t="s">
        <v>7</v>
      </c>
      <c r="C122" s="1">
        <v>154</v>
      </c>
      <c r="D122" s="1" t="s">
        <v>11</v>
      </c>
      <c r="E122" s="1" t="s">
        <v>30</v>
      </c>
    </row>
    <row r="123" spans="1:5">
      <c r="A123" s="1" t="s">
        <v>40</v>
      </c>
      <c r="B123" s="1" t="s">
        <v>9</v>
      </c>
      <c r="C123" s="1">
        <v>140</v>
      </c>
      <c r="D123" s="1" t="s">
        <v>11</v>
      </c>
      <c r="E123" s="1" t="s">
        <v>12</v>
      </c>
    </row>
    <row r="124" spans="1:5">
      <c r="A124" s="1" t="s">
        <v>40</v>
      </c>
      <c r="B124" s="1" t="s">
        <v>10</v>
      </c>
      <c r="C124" s="1">
        <v>136</v>
      </c>
      <c r="D124" s="1" t="s">
        <v>11</v>
      </c>
      <c r="E124" s="1" t="s">
        <v>12</v>
      </c>
    </row>
    <row r="125" spans="1:5">
      <c r="A125" s="1" t="s">
        <v>40</v>
      </c>
      <c r="B125" s="1" t="s">
        <v>13</v>
      </c>
      <c r="C125" s="1">
        <v>139</v>
      </c>
      <c r="D125" s="1" t="s">
        <v>11</v>
      </c>
      <c r="E125" s="1" t="s">
        <v>12</v>
      </c>
    </row>
    <row r="126" spans="1:5">
      <c r="A126" s="1" t="s">
        <v>40</v>
      </c>
      <c r="B126" s="1" t="s">
        <v>15</v>
      </c>
      <c r="C126" s="1">
        <v>138</v>
      </c>
      <c r="D126" s="1" t="s">
        <v>11</v>
      </c>
      <c r="E126" s="1" t="s">
        <v>12</v>
      </c>
    </row>
    <row r="127" spans="1:5">
      <c r="A127" s="1" t="s">
        <v>40</v>
      </c>
      <c r="B127" s="1" t="s">
        <v>16</v>
      </c>
      <c r="C127" s="1">
        <v>139</v>
      </c>
      <c r="D127" s="1" t="s">
        <v>8</v>
      </c>
      <c r="E127" s="1" t="s">
        <v>14</v>
      </c>
    </row>
    <row r="128" spans="1:5">
      <c r="A128" s="1" t="s">
        <v>41</v>
      </c>
      <c r="B128" s="1" t="s">
        <v>5</v>
      </c>
      <c r="C128" s="1">
        <v>133</v>
      </c>
      <c r="D128" s="1" t="s">
        <v>6</v>
      </c>
      <c r="E128" s="1" t="s">
        <v>22</v>
      </c>
    </row>
    <row r="129" spans="1:5">
      <c r="A129" s="1" t="s">
        <v>41</v>
      </c>
      <c r="B129" s="1" t="s">
        <v>7</v>
      </c>
      <c r="C129" s="1">
        <v>140</v>
      </c>
      <c r="D129" s="1" t="s">
        <v>8</v>
      </c>
      <c r="E129" s="1" t="s">
        <v>14</v>
      </c>
    </row>
    <row r="130" spans="1:5">
      <c r="A130" s="1" t="s">
        <v>41</v>
      </c>
      <c r="B130" s="1" t="s">
        <v>9</v>
      </c>
      <c r="C130" s="1">
        <v>134</v>
      </c>
      <c r="D130" s="1" t="s">
        <v>8</v>
      </c>
      <c r="E130" s="1" t="s">
        <v>14</v>
      </c>
    </row>
    <row r="131" spans="1:5">
      <c r="A131" s="1" t="s">
        <v>41</v>
      </c>
      <c r="B131" s="1" t="s">
        <v>10</v>
      </c>
      <c r="C131" s="1">
        <v>133</v>
      </c>
      <c r="D131" s="1" t="s">
        <v>8</v>
      </c>
      <c r="E131" s="1" t="s">
        <v>14</v>
      </c>
    </row>
    <row r="132" spans="1:5">
      <c r="A132" s="1" t="s">
        <v>41</v>
      </c>
      <c r="B132" s="1" t="s">
        <v>13</v>
      </c>
      <c r="C132" s="1">
        <v>136</v>
      </c>
      <c r="D132" s="1" t="s">
        <v>11</v>
      </c>
      <c r="E132" s="1" t="s">
        <v>12</v>
      </c>
    </row>
    <row r="133" spans="1:5">
      <c r="A133" s="1" t="s">
        <v>41</v>
      </c>
      <c r="B133" s="1" t="s">
        <v>15</v>
      </c>
      <c r="C133" s="1">
        <v>135</v>
      </c>
      <c r="D133" s="1" t="s">
        <v>8</v>
      </c>
      <c r="E133" s="1" t="s">
        <v>20</v>
      </c>
    </row>
    <row r="134" spans="1:5">
      <c r="A134" s="1" t="s">
        <v>41</v>
      </c>
      <c r="B134" s="1" t="s">
        <v>16</v>
      </c>
      <c r="C134" s="1">
        <v>146</v>
      </c>
      <c r="D134" s="1" t="s">
        <v>11</v>
      </c>
      <c r="E134" s="1" t="s">
        <v>12</v>
      </c>
    </row>
    <row r="135" spans="1:5">
      <c r="A135" s="1" t="s">
        <v>42</v>
      </c>
      <c r="B135" s="1" t="s">
        <v>5</v>
      </c>
      <c r="C135" s="1">
        <v>137</v>
      </c>
      <c r="D135" s="1" t="s">
        <v>6</v>
      </c>
      <c r="E135" s="1" t="s">
        <v>19</v>
      </c>
    </row>
    <row r="136" spans="1:5">
      <c r="A136" s="1" t="s">
        <v>42</v>
      </c>
      <c r="B136" s="1" t="s">
        <v>7</v>
      </c>
      <c r="C136" s="1">
        <v>130</v>
      </c>
      <c r="D136" s="1" t="s">
        <v>6</v>
      </c>
      <c r="E136" s="1" t="s">
        <v>22</v>
      </c>
    </row>
    <row r="137" spans="1:5">
      <c r="A137" s="1" t="s">
        <v>42</v>
      </c>
      <c r="B137" s="1" t="s">
        <v>9</v>
      </c>
      <c r="C137" s="1">
        <v>132</v>
      </c>
      <c r="D137" s="1" t="s">
        <v>8</v>
      </c>
      <c r="E137" s="1" t="s">
        <v>14</v>
      </c>
    </row>
    <row r="138" spans="1:5">
      <c r="A138" s="1" t="s">
        <v>42</v>
      </c>
      <c r="B138" s="1" t="s">
        <v>10</v>
      </c>
      <c r="C138" s="1">
        <v>128</v>
      </c>
      <c r="D138" s="1" t="s">
        <v>6</v>
      </c>
      <c r="E138" s="1" t="s">
        <v>22</v>
      </c>
    </row>
    <row r="139" spans="1:5">
      <c r="A139" s="1" t="s">
        <v>42</v>
      </c>
      <c r="B139" s="1" t="s">
        <v>13</v>
      </c>
      <c r="C139" s="1">
        <v>124</v>
      </c>
      <c r="D139" s="1" t="s">
        <v>6</v>
      </c>
      <c r="E139" s="1" t="s">
        <v>22</v>
      </c>
    </row>
    <row r="140" spans="1:5">
      <c r="A140" s="1" t="s">
        <v>42</v>
      </c>
      <c r="B140" s="1" t="s">
        <v>15</v>
      </c>
      <c r="C140" s="1">
        <v>141</v>
      </c>
      <c r="D140" s="1" t="s">
        <v>11</v>
      </c>
      <c r="E140" s="1" t="s">
        <v>12</v>
      </c>
    </row>
    <row r="141" spans="1:5">
      <c r="A141" s="1" t="s">
        <v>42</v>
      </c>
      <c r="B141" s="1" t="s">
        <v>16</v>
      </c>
      <c r="C141" s="1">
        <v>140</v>
      </c>
      <c r="D141" s="1" t="s">
        <v>11</v>
      </c>
      <c r="E141" s="1" t="s">
        <v>12</v>
      </c>
    </row>
    <row r="142" spans="1:5">
      <c r="A142" s="1" t="s">
        <v>43</v>
      </c>
      <c r="B142" s="1" t="s">
        <v>5</v>
      </c>
      <c r="C142" s="1">
        <v>126</v>
      </c>
      <c r="D142" s="1" t="s">
        <v>6</v>
      </c>
      <c r="E142" s="1" t="s">
        <v>22</v>
      </c>
    </row>
    <row r="143" spans="1:5">
      <c r="A143" s="1" t="s">
        <v>43</v>
      </c>
      <c r="B143" s="1" t="s">
        <v>7</v>
      </c>
      <c r="C143" s="1">
        <v>129</v>
      </c>
      <c r="D143" s="1" t="s">
        <v>6</v>
      </c>
      <c r="E143" s="1" t="s">
        <v>19</v>
      </c>
    </row>
    <row r="144" spans="1:5">
      <c r="A144" s="1" t="s">
        <v>43</v>
      </c>
      <c r="B144" s="1" t="s">
        <v>9</v>
      </c>
      <c r="C144" s="1">
        <v>133</v>
      </c>
      <c r="D144" s="1" t="s">
        <v>8</v>
      </c>
      <c r="E144" s="1" t="s">
        <v>14</v>
      </c>
    </row>
    <row r="145" spans="1:5">
      <c r="A145" s="1" t="s">
        <v>43</v>
      </c>
      <c r="B145" s="1" t="s">
        <v>10</v>
      </c>
      <c r="C145" s="1">
        <v>142</v>
      </c>
      <c r="D145" s="1" t="s">
        <v>8</v>
      </c>
      <c r="E145" s="1" t="s">
        <v>14</v>
      </c>
    </row>
    <row r="146" spans="1:5">
      <c r="A146" s="1" t="s">
        <v>43</v>
      </c>
      <c r="B146" s="1" t="s">
        <v>13</v>
      </c>
      <c r="C146" s="1">
        <v>136</v>
      </c>
      <c r="D146" s="1" t="s">
        <v>8</v>
      </c>
      <c r="E146" s="1" t="s">
        <v>14</v>
      </c>
    </row>
    <row r="147" spans="1:5">
      <c r="A147" s="1" t="s">
        <v>43</v>
      </c>
      <c r="B147" s="1" t="s">
        <v>15</v>
      </c>
      <c r="C147" s="1">
        <v>146</v>
      </c>
      <c r="D147" s="1" t="s">
        <v>11</v>
      </c>
      <c r="E147" s="1" t="s">
        <v>12</v>
      </c>
    </row>
    <row r="148" spans="1:5">
      <c r="A148" s="1" t="s">
        <v>43</v>
      </c>
      <c r="B148" s="1" t="s">
        <v>16</v>
      </c>
      <c r="C148" s="1">
        <v>141</v>
      </c>
      <c r="D148" s="1" t="s">
        <v>11</v>
      </c>
      <c r="E148" s="1" t="s">
        <v>12</v>
      </c>
    </row>
    <row r="149" spans="1:5">
      <c r="A149" s="1" t="s">
        <v>44</v>
      </c>
      <c r="B149" s="1" t="s">
        <v>5</v>
      </c>
      <c r="C149" s="1">
        <v>139</v>
      </c>
      <c r="D149" s="1" t="s">
        <v>11</v>
      </c>
      <c r="E149" s="1" t="s">
        <v>12</v>
      </c>
    </row>
    <row r="150" spans="1:5">
      <c r="A150" s="1" t="s">
        <v>44</v>
      </c>
      <c r="B150" s="1" t="s">
        <v>7</v>
      </c>
      <c r="C150" s="1">
        <v>131</v>
      </c>
      <c r="D150" s="1" t="s">
        <v>8</v>
      </c>
      <c r="E150" s="1" t="s">
        <v>14</v>
      </c>
    </row>
    <row r="151" spans="1:5">
      <c r="A151" s="1" t="s">
        <v>44</v>
      </c>
      <c r="B151" s="1" t="s">
        <v>9</v>
      </c>
      <c r="C151" s="1">
        <v>125</v>
      </c>
      <c r="D151" s="1" t="s">
        <v>8</v>
      </c>
      <c r="E151" s="1" t="s">
        <v>14</v>
      </c>
    </row>
    <row r="152" spans="1:5">
      <c r="A152" s="1" t="s">
        <v>44</v>
      </c>
      <c r="B152" s="1" t="s">
        <v>10</v>
      </c>
      <c r="C152" s="1">
        <v>136</v>
      </c>
      <c r="D152" s="1" t="s">
        <v>8</v>
      </c>
      <c r="E152" s="1" t="s">
        <v>14</v>
      </c>
    </row>
    <row r="153" spans="1:5">
      <c r="A153" s="1" t="s">
        <v>44</v>
      </c>
      <c r="B153" s="1" t="s">
        <v>13</v>
      </c>
      <c r="C153" s="1">
        <v>126</v>
      </c>
      <c r="D153" s="1" t="s">
        <v>6</v>
      </c>
      <c r="E153" s="1" t="s">
        <v>22</v>
      </c>
    </row>
    <row r="154" spans="1:5">
      <c r="A154" s="1" t="s">
        <v>44</v>
      </c>
      <c r="B154" s="1" t="s">
        <v>15</v>
      </c>
      <c r="C154" s="1">
        <v>143</v>
      </c>
      <c r="D154" s="1" t="s">
        <v>11</v>
      </c>
      <c r="E154" s="1" t="s">
        <v>12</v>
      </c>
    </row>
    <row r="155" spans="1:5">
      <c r="A155" s="1" t="s">
        <v>44</v>
      </c>
      <c r="B155" s="1" t="s">
        <v>16</v>
      </c>
      <c r="C155" s="1">
        <v>122</v>
      </c>
      <c r="D155" s="1" t="s">
        <v>6</v>
      </c>
      <c r="E155" s="1" t="s">
        <v>18</v>
      </c>
    </row>
    <row r="156" spans="1:5">
      <c r="A156" s="1" t="s">
        <v>45</v>
      </c>
      <c r="B156" s="1" t="s">
        <v>5</v>
      </c>
      <c r="C156" s="1">
        <v>124</v>
      </c>
      <c r="D156" s="1" t="s">
        <v>6</v>
      </c>
      <c r="E156" s="1" t="s">
        <v>22</v>
      </c>
    </row>
    <row r="157" spans="1:5">
      <c r="A157" s="1" t="s">
        <v>45</v>
      </c>
      <c r="B157" s="1" t="s">
        <v>7</v>
      </c>
      <c r="C157" s="1">
        <v>129</v>
      </c>
      <c r="D157" s="1" t="s">
        <v>6</v>
      </c>
      <c r="E157" s="1" t="s">
        <v>22</v>
      </c>
    </row>
    <row r="158" spans="1:5">
      <c r="A158" s="1" t="s">
        <v>45</v>
      </c>
      <c r="B158" s="1" t="s">
        <v>9</v>
      </c>
      <c r="C158" s="1">
        <v>122</v>
      </c>
      <c r="D158" s="1" t="s">
        <v>6</v>
      </c>
      <c r="E158" s="1" t="s">
        <v>18</v>
      </c>
    </row>
    <row r="159" spans="1:5">
      <c r="A159" s="1" t="s">
        <v>45</v>
      </c>
      <c r="B159" s="1" t="s">
        <v>10</v>
      </c>
      <c r="C159" s="1">
        <v>121</v>
      </c>
      <c r="D159" s="1" t="s">
        <v>6</v>
      </c>
      <c r="E159" s="1" t="s">
        <v>18</v>
      </c>
    </row>
    <row r="160" spans="1:5">
      <c r="A160" s="1" t="s">
        <v>45</v>
      </c>
      <c r="B160" s="1" t="s">
        <v>13</v>
      </c>
      <c r="C160" s="1">
        <v>118</v>
      </c>
      <c r="D160" s="1" t="s">
        <v>6</v>
      </c>
      <c r="E160" s="1" t="s">
        <v>18</v>
      </c>
    </row>
    <row r="161" spans="1:5">
      <c r="A161" s="1" t="s">
        <v>45</v>
      </c>
      <c r="B161" s="1" t="s">
        <v>15</v>
      </c>
      <c r="C161" s="1">
        <v>138</v>
      </c>
      <c r="D161" s="1" t="s">
        <v>8</v>
      </c>
      <c r="E161" s="1" t="s">
        <v>14</v>
      </c>
    </row>
    <row r="162" spans="1:5">
      <c r="A162" s="1" t="s">
        <v>45</v>
      </c>
      <c r="B162" s="1" t="s">
        <v>16</v>
      </c>
      <c r="C162" s="1">
        <v>136</v>
      </c>
      <c r="D162" s="1" t="s">
        <v>8</v>
      </c>
      <c r="E162" s="1" t="s">
        <v>14</v>
      </c>
    </row>
    <row r="163" spans="1:5">
      <c r="A163" s="1" t="s">
        <v>46</v>
      </c>
      <c r="B163" s="1" t="s">
        <v>5</v>
      </c>
      <c r="C163" s="1">
        <v>126</v>
      </c>
      <c r="D163" s="1" t="s">
        <v>8</v>
      </c>
      <c r="E163" s="1" t="s">
        <v>14</v>
      </c>
    </row>
    <row r="164" spans="1:5">
      <c r="A164" s="1" t="s">
        <v>46</v>
      </c>
      <c r="B164" s="1" t="s">
        <v>7</v>
      </c>
      <c r="C164" s="1">
        <v>136</v>
      </c>
      <c r="D164" s="1" t="s">
        <v>8</v>
      </c>
      <c r="E164" s="1" t="s">
        <v>14</v>
      </c>
    </row>
    <row r="165" spans="1:5">
      <c r="A165" s="1" t="s">
        <v>46</v>
      </c>
      <c r="B165" s="1" t="s">
        <v>9</v>
      </c>
      <c r="C165" s="1">
        <v>137</v>
      </c>
      <c r="D165" s="1" t="s">
        <v>11</v>
      </c>
      <c r="E165" s="1" t="s">
        <v>12</v>
      </c>
    </row>
    <row r="166" spans="1:5">
      <c r="A166" s="1" t="s">
        <v>46</v>
      </c>
      <c r="B166" s="1" t="s">
        <v>10</v>
      </c>
      <c r="C166" s="1">
        <v>131</v>
      </c>
      <c r="D166" s="1" t="s">
        <v>6</v>
      </c>
      <c r="E166" s="1" t="s">
        <v>22</v>
      </c>
    </row>
    <row r="167" spans="1:5">
      <c r="A167" s="1" t="s">
        <v>46</v>
      </c>
      <c r="B167" s="1" t="s">
        <v>13</v>
      </c>
      <c r="C167" s="1">
        <v>139</v>
      </c>
      <c r="D167" s="1" t="s">
        <v>11</v>
      </c>
      <c r="E167" s="1" t="s">
        <v>12</v>
      </c>
    </row>
    <row r="168" spans="1:5">
      <c r="A168" s="1" t="s">
        <v>46</v>
      </c>
      <c r="B168" s="1" t="s">
        <v>15</v>
      </c>
      <c r="C168" s="1">
        <v>135</v>
      </c>
      <c r="D168" s="1" t="s">
        <v>8</v>
      </c>
      <c r="E168" s="1" t="s">
        <v>14</v>
      </c>
    </row>
    <row r="169" spans="1:5">
      <c r="A169" s="1" t="s">
        <v>46</v>
      </c>
      <c r="B169" s="1" t="s">
        <v>16</v>
      </c>
      <c r="C169" s="1">
        <v>140</v>
      </c>
      <c r="D169" s="1" t="s">
        <v>11</v>
      </c>
      <c r="E169" s="1" t="s">
        <v>12</v>
      </c>
    </row>
    <row r="170" spans="1:5">
      <c r="A170" s="1" t="s">
        <v>47</v>
      </c>
      <c r="B170" s="1" t="s">
        <v>5</v>
      </c>
      <c r="C170" s="1">
        <v>130</v>
      </c>
      <c r="D170" s="1" t="s">
        <v>6</v>
      </c>
      <c r="E170" s="1" t="s">
        <v>22</v>
      </c>
    </row>
    <row r="171" spans="1:5">
      <c r="A171" s="1" t="s">
        <v>47</v>
      </c>
      <c r="B171" s="1" t="s">
        <v>7</v>
      </c>
      <c r="C171" s="1">
        <v>137</v>
      </c>
      <c r="D171" s="1" t="s">
        <v>8</v>
      </c>
      <c r="E171" s="1" t="s">
        <v>14</v>
      </c>
    </row>
    <row r="172" spans="1:5">
      <c r="A172" s="1" t="s">
        <v>47</v>
      </c>
      <c r="B172" s="1" t="s">
        <v>9</v>
      </c>
      <c r="C172" s="1">
        <v>129</v>
      </c>
      <c r="D172" s="1" t="s">
        <v>8</v>
      </c>
      <c r="E172" s="1" t="s">
        <v>20</v>
      </c>
    </row>
    <row r="173" spans="1:5">
      <c r="A173" s="1" t="s">
        <v>47</v>
      </c>
      <c r="B173" s="1" t="s">
        <v>10</v>
      </c>
      <c r="C173" s="1">
        <v>129</v>
      </c>
      <c r="D173" s="1" t="s">
        <v>8</v>
      </c>
      <c r="E173" s="1" t="s">
        <v>14</v>
      </c>
    </row>
    <row r="174" spans="1:5">
      <c r="A174" s="1" t="s">
        <v>47</v>
      </c>
      <c r="B174" s="1" t="s">
        <v>13</v>
      </c>
      <c r="C174" s="1">
        <v>133</v>
      </c>
      <c r="D174" s="1" t="s">
        <v>8</v>
      </c>
      <c r="E174" s="1" t="s">
        <v>14</v>
      </c>
    </row>
    <row r="175" spans="1:5">
      <c r="A175" s="1" t="s">
        <v>47</v>
      </c>
      <c r="B175" s="1" t="s">
        <v>15</v>
      </c>
      <c r="C175" s="1">
        <v>128</v>
      </c>
      <c r="D175" s="1" t="s">
        <v>6</v>
      </c>
      <c r="E175" s="1" t="s">
        <v>22</v>
      </c>
    </row>
    <row r="176" spans="1:5">
      <c r="A176" s="1" t="s">
        <v>47</v>
      </c>
      <c r="B176" s="1" t="s">
        <v>16</v>
      </c>
      <c r="C176" s="1">
        <v>140</v>
      </c>
      <c r="D176" s="1" t="s">
        <v>11</v>
      </c>
      <c r="E176" s="1" t="s">
        <v>25</v>
      </c>
    </row>
    <row r="177" spans="1:5">
      <c r="A177" s="1" t="s">
        <v>48</v>
      </c>
      <c r="B177" s="1" t="s">
        <v>5</v>
      </c>
      <c r="C177" s="1">
        <v>136</v>
      </c>
      <c r="D177" s="1" t="s">
        <v>8</v>
      </c>
      <c r="E177" s="1" t="s">
        <v>20</v>
      </c>
    </row>
    <row r="178" spans="1:5">
      <c r="A178" s="1" t="s">
        <v>48</v>
      </c>
      <c r="B178" s="1" t="s">
        <v>7</v>
      </c>
      <c r="C178" s="1">
        <v>139</v>
      </c>
      <c r="D178" s="1" t="s">
        <v>8</v>
      </c>
      <c r="E178" s="1" t="s">
        <v>14</v>
      </c>
    </row>
    <row r="179" spans="1:5">
      <c r="A179" s="1" t="s">
        <v>48</v>
      </c>
      <c r="B179" s="1" t="s">
        <v>9</v>
      </c>
      <c r="C179" s="1">
        <v>136</v>
      </c>
      <c r="D179" s="1" t="s">
        <v>11</v>
      </c>
      <c r="E179" s="1" t="s">
        <v>12</v>
      </c>
    </row>
    <row r="180" spans="1:5">
      <c r="A180" s="1" t="s">
        <v>48</v>
      </c>
      <c r="B180" s="1" t="s">
        <v>10</v>
      </c>
      <c r="C180" s="1">
        <v>126</v>
      </c>
      <c r="D180" s="1" t="s">
        <v>8</v>
      </c>
      <c r="E180" s="1" t="s">
        <v>14</v>
      </c>
    </row>
    <row r="181" spans="1:5">
      <c r="A181" s="1" t="s">
        <v>48</v>
      </c>
      <c r="B181" s="1" t="s">
        <v>13</v>
      </c>
      <c r="C181" s="1">
        <v>136</v>
      </c>
      <c r="D181" s="1" t="s">
        <v>8</v>
      </c>
      <c r="E181" s="1" t="s">
        <v>14</v>
      </c>
    </row>
    <row r="182" spans="1:5">
      <c r="A182" s="1" t="s">
        <v>48</v>
      </c>
      <c r="B182" s="1" t="s">
        <v>15</v>
      </c>
      <c r="C182" s="1">
        <v>136</v>
      </c>
      <c r="D182" s="1" t="s">
        <v>11</v>
      </c>
      <c r="E182" s="1" t="s">
        <v>12</v>
      </c>
    </row>
    <row r="183" spans="1:5">
      <c r="A183" s="1" t="s">
        <v>48</v>
      </c>
      <c r="B183" s="1" t="s">
        <v>16</v>
      </c>
      <c r="C183" s="1">
        <v>140</v>
      </c>
      <c r="D183" s="1" t="s">
        <v>11</v>
      </c>
      <c r="E183" s="1" t="s">
        <v>12</v>
      </c>
    </row>
    <row r="184" spans="1:5">
      <c r="A184" s="1" t="s">
        <v>49</v>
      </c>
      <c r="B184" s="1" t="s">
        <v>5</v>
      </c>
      <c r="C184" s="1">
        <v>129</v>
      </c>
      <c r="D184" s="1" t="s">
        <v>8</v>
      </c>
      <c r="E184" s="1" t="s">
        <v>14</v>
      </c>
    </row>
    <row r="185" spans="1:5">
      <c r="A185" s="1" t="s">
        <v>49</v>
      </c>
      <c r="B185" s="1" t="s">
        <v>7</v>
      </c>
      <c r="C185" s="1">
        <v>134</v>
      </c>
      <c r="D185" s="1" t="s">
        <v>8</v>
      </c>
      <c r="E185" s="1" t="s">
        <v>20</v>
      </c>
    </row>
    <row r="186" spans="1:5">
      <c r="A186" s="1" t="s">
        <v>49</v>
      </c>
      <c r="B186" s="1" t="s">
        <v>9</v>
      </c>
      <c r="C186" s="1">
        <v>132</v>
      </c>
      <c r="D186" s="1" t="s">
        <v>11</v>
      </c>
      <c r="E186" s="1" t="s">
        <v>12</v>
      </c>
    </row>
    <row r="187" spans="1:5">
      <c r="A187" s="1" t="s">
        <v>49</v>
      </c>
      <c r="B187" s="1" t="s">
        <v>10</v>
      </c>
      <c r="C187" s="1">
        <v>123</v>
      </c>
      <c r="D187" s="1" t="s">
        <v>6</v>
      </c>
      <c r="E187" s="1" t="s">
        <v>18</v>
      </c>
    </row>
    <row r="188" spans="1:5">
      <c r="A188" s="1" t="s">
        <v>49</v>
      </c>
      <c r="B188" s="1" t="s">
        <v>13</v>
      </c>
      <c r="C188" s="1">
        <v>110</v>
      </c>
      <c r="D188" s="1" t="s">
        <v>6</v>
      </c>
      <c r="E188" s="1" t="s">
        <v>18</v>
      </c>
    </row>
    <row r="189" spans="1:5">
      <c r="A189" s="1" t="s">
        <v>49</v>
      </c>
      <c r="B189" s="1" t="s">
        <v>15</v>
      </c>
      <c r="C189" s="1">
        <v>124</v>
      </c>
      <c r="D189" s="1" t="s">
        <v>6</v>
      </c>
      <c r="E189" s="1" t="s">
        <v>22</v>
      </c>
    </row>
    <row r="190" spans="1:5">
      <c r="A190" s="1" t="s">
        <v>49</v>
      </c>
      <c r="B190" s="1" t="s">
        <v>16</v>
      </c>
      <c r="C190" s="1">
        <v>125</v>
      </c>
      <c r="D190" s="1" t="s">
        <v>6</v>
      </c>
      <c r="E190" s="1" t="s">
        <v>22</v>
      </c>
    </row>
    <row r="191" spans="1:5">
      <c r="A191" s="1" t="s">
        <v>50</v>
      </c>
      <c r="B191" s="1" t="s">
        <v>5</v>
      </c>
      <c r="C191" s="1">
        <v>133</v>
      </c>
      <c r="D191" s="1" t="s">
        <v>8</v>
      </c>
      <c r="E191" s="1" t="s">
        <v>14</v>
      </c>
    </row>
    <row r="192" spans="1:5">
      <c r="A192" s="1" t="s">
        <v>50</v>
      </c>
      <c r="B192" s="1" t="s">
        <v>7</v>
      </c>
      <c r="C192" s="1">
        <v>132</v>
      </c>
      <c r="D192" s="1" t="s">
        <v>11</v>
      </c>
      <c r="E192" s="1" t="s">
        <v>25</v>
      </c>
    </row>
    <row r="193" spans="1:5">
      <c r="A193" s="1" t="s">
        <v>50</v>
      </c>
      <c r="B193" s="1" t="s">
        <v>9</v>
      </c>
      <c r="C193" s="1">
        <v>132</v>
      </c>
      <c r="D193" s="1" t="s">
        <v>8</v>
      </c>
      <c r="E193" s="1" t="s">
        <v>14</v>
      </c>
    </row>
    <row r="194" spans="1:5">
      <c r="A194" s="1" t="s">
        <v>50</v>
      </c>
      <c r="B194" s="1" t="s">
        <v>10</v>
      </c>
      <c r="C194" s="1">
        <v>133</v>
      </c>
      <c r="D194" s="1" t="s">
        <v>8</v>
      </c>
      <c r="E194" s="1" t="s">
        <v>20</v>
      </c>
    </row>
    <row r="195" spans="1:5">
      <c r="A195" s="1" t="s">
        <v>50</v>
      </c>
      <c r="B195" s="1" t="s">
        <v>13</v>
      </c>
      <c r="C195" s="1">
        <v>142</v>
      </c>
      <c r="D195" s="1" t="s">
        <v>11</v>
      </c>
      <c r="E195" s="1" t="s">
        <v>12</v>
      </c>
    </row>
    <row r="196" spans="1:5">
      <c r="A196" s="1" t="s">
        <v>50</v>
      </c>
      <c r="B196" s="1" t="s">
        <v>15</v>
      </c>
      <c r="C196" s="1">
        <v>139</v>
      </c>
      <c r="D196" s="1" t="s">
        <v>11</v>
      </c>
      <c r="E196" s="1" t="s">
        <v>12</v>
      </c>
    </row>
    <row r="197" spans="1:5">
      <c r="A197" s="1" t="s">
        <v>50</v>
      </c>
      <c r="B197" s="1" t="s">
        <v>16</v>
      </c>
      <c r="C197" s="1">
        <v>140</v>
      </c>
      <c r="D197" s="1" t="s">
        <v>8</v>
      </c>
      <c r="E197" s="1" t="s">
        <v>14</v>
      </c>
    </row>
    <row r="198" spans="1:5">
      <c r="A198" s="1" t="s">
        <v>51</v>
      </c>
      <c r="B198" s="1" t="s">
        <v>5</v>
      </c>
      <c r="C198" s="1">
        <v>125</v>
      </c>
      <c r="D198" s="1" t="s">
        <v>6</v>
      </c>
      <c r="E198" s="1" t="s">
        <v>22</v>
      </c>
    </row>
    <row r="199" spans="1:5">
      <c r="A199" s="1" t="s">
        <v>51</v>
      </c>
      <c r="B199" s="1" t="s">
        <v>7</v>
      </c>
      <c r="C199" s="1">
        <v>133</v>
      </c>
      <c r="D199" s="1" t="s">
        <v>8</v>
      </c>
      <c r="E199" s="1" t="s">
        <v>14</v>
      </c>
    </row>
    <row r="200" spans="1:5">
      <c r="A200" s="1" t="s">
        <v>51</v>
      </c>
      <c r="B200" s="1" t="s">
        <v>9</v>
      </c>
      <c r="C200" s="1">
        <v>126</v>
      </c>
      <c r="D200" s="1" t="s">
        <v>6</v>
      </c>
      <c r="E200" s="1" t="s">
        <v>22</v>
      </c>
    </row>
    <row r="201" spans="1:5">
      <c r="A201" s="1" t="s">
        <v>51</v>
      </c>
      <c r="B201" s="1" t="s">
        <v>10</v>
      </c>
      <c r="C201" s="1">
        <v>131</v>
      </c>
      <c r="D201" s="1" t="s">
        <v>8</v>
      </c>
      <c r="E201" s="1" t="s">
        <v>14</v>
      </c>
    </row>
    <row r="202" spans="1:5">
      <c r="A202" s="1" t="s">
        <v>51</v>
      </c>
      <c r="B202" s="1" t="s">
        <v>13</v>
      </c>
      <c r="C202" s="1">
        <v>130</v>
      </c>
      <c r="D202" s="1" t="s">
        <v>8</v>
      </c>
      <c r="E202" s="1" t="s">
        <v>20</v>
      </c>
    </row>
    <row r="203" spans="1:5">
      <c r="A203" s="1" t="s">
        <v>51</v>
      </c>
      <c r="B203" s="1" t="s">
        <v>15</v>
      </c>
      <c r="C203" s="1">
        <v>134</v>
      </c>
      <c r="D203" s="1" t="s">
        <v>8</v>
      </c>
      <c r="E203" s="1" t="s">
        <v>14</v>
      </c>
    </row>
    <row r="204" spans="1:5">
      <c r="A204" s="1" t="s">
        <v>51</v>
      </c>
      <c r="B204" s="1" t="s">
        <v>16</v>
      </c>
      <c r="C204" s="1">
        <v>149</v>
      </c>
      <c r="D204" s="1" t="s">
        <v>11</v>
      </c>
      <c r="E204" s="1" t="s">
        <v>30</v>
      </c>
    </row>
    <row r="205" spans="1:5">
      <c r="A205" s="1" t="s">
        <v>52</v>
      </c>
      <c r="B205" s="1" t="s">
        <v>5</v>
      </c>
      <c r="C205" s="1">
        <v>129</v>
      </c>
      <c r="D205" s="1" t="s">
        <v>8</v>
      </c>
      <c r="E205" s="1" t="s">
        <v>14</v>
      </c>
    </row>
    <row r="206" spans="1:5">
      <c r="A206" s="1" t="s">
        <v>52</v>
      </c>
      <c r="B206" s="1" t="s">
        <v>7</v>
      </c>
      <c r="C206" s="1">
        <v>133</v>
      </c>
      <c r="D206" s="1" t="s">
        <v>8</v>
      </c>
      <c r="E206" s="1" t="s">
        <v>14</v>
      </c>
    </row>
    <row r="207" spans="1:5">
      <c r="A207" s="1" t="s">
        <v>52</v>
      </c>
      <c r="B207" s="1" t="s">
        <v>9</v>
      </c>
      <c r="C207" s="1">
        <v>137</v>
      </c>
      <c r="D207" s="1" t="s">
        <v>8</v>
      </c>
      <c r="E207" s="1" t="s">
        <v>14</v>
      </c>
    </row>
    <row r="208" spans="1:5">
      <c r="A208" s="1" t="s">
        <v>52</v>
      </c>
      <c r="B208" s="1" t="s">
        <v>10</v>
      </c>
      <c r="C208" s="1">
        <v>138</v>
      </c>
      <c r="D208" s="1" t="s">
        <v>11</v>
      </c>
      <c r="E208" s="1" t="s">
        <v>12</v>
      </c>
    </row>
    <row r="209" spans="1:5">
      <c r="A209" s="1" t="s">
        <v>52</v>
      </c>
      <c r="B209" s="1" t="s">
        <v>13</v>
      </c>
      <c r="C209" s="1">
        <v>130</v>
      </c>
      <c r="D209" s="1" t="s">
        <v>8</v>
      </c>
      <c r="E209" s="1" t="s">
        <v>14</v>
      </c>
    </row>
    <row r="210" spans="1:5">
      <c r="A210" s="1" t="s">
        <v>52</v>
      </c>
      <c r="B210" s="1" t="s">
        <v>15</v>
      </c>
      <c r="C210" s="1">
        <v>134</v>
      </c>
      <c r="D210" s="1" t="s">
        <v>8</v>
      </c>
      <c r="E210" s="1" t="s">
        <v>14</v>
      </c>
    </row>
    <row r="211" spans="1:5">
      <c r="A211" s="1" t="s">
        <v>52</v>
      </c>
      <c r="B211" s="1" t="s">
        <v>16</v>
      </c>
      <c r="C211" s="1">
        <v>133</v>
      </c>
      <c r="D211" s="1" t="s">
        <v>6</v>
      </c>
      <c r="E211" s="1" t="s">
        <v>22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38BC-CA06-FF47-A60C-63CF92F0EF04}">
  <dimension ref="A1:O228"/>
  <sheetViews>
    <sheetView workbookViewId="0">
      <selection activeCell="B2" sqref="B2"/>
    </sheetView>
  </sheetViews>
  <sheetFormatPr baseColWidth="10" defaultRowHeight="20"/>
  <cols>
    <col min="1" max="1" width="7" bestFit="1" customWidth="1"/>
  </cols>
  <sheetData>
    <row r="1" spans="1:15">
      <c r="A1" s="1" t="s">
        <v>2</v>
      </c>
      <c r="B1">
        <v>8</v>
      </c>
    </row>
    <row r="2" spans="1:15">
      <c r="A2" s="1">
        <v>123</v>
      </c>
      <c r="B2">
        <f ca="1">AVERAGE(_xlfn.TAKE(_xlfn.SORTBY($A$2:$A$211,_xlfn.RANDARRAY(ROWS($A$2:$A$211))),30))</f>
        <v>132.93333333333334</v>
      </c>
    </row>
    <row r="3" spans="1:15">
      <c r="A3" s="1">
        <v>126</v>
      </c>
      <c r="B3">
        <f t="shared" ref="B3:B66" ca="1" si="0">AVERAGE(_xlfn.TAKE(_xlfn.SORTBY($A$2:$A$211,_xlfn.RANDARRAY(ROWS($A$2:$A$211))),30))</f>
        <v>133.36666666666667</v>
      </c>
      <c r="I3">
        <v>1</v>
      </c>
      <c r="J3" s="1">
        <v>139</v>
      </c>
      <c r="K3" s="1">
        <v>139</v>
      </c>
      <c r="M3" cm="1">
        <f t="array" ref="M3:O5">_xlfn.TAKE(I3:K8,3)</f>
        <v>1</v>
      </c>
      <c r="N3">
        <v>139</v>
      </c>
      <c r="O3">
        <v>139</v>
      </c>
    </row>
    <row r="4" spans="1:15">
      <c r="A4" s="1">
        <v>132</v>
      </c>
      <c r="B4">
        <f t="shared" ca="1" si="0"/>
        <v>132</v>
      </c>
      <c r="I4">
        <v>2</v>
      </c>
      <c r="J4" s="1">
        <v>134</v>
      </c>
      <c r="K4" s="1">
        <v>121</v>
      </c>
      <c r="M4">
        <v>2</v>
      </c>
      <c r="N4">
        <v>134</v>
      </c>
      <c r="O4">
        <v>121</v>
      </c>
    </row>
    <row r="5" spans="1:15">
      <c r="A5" s="1">
        <v>125</v>
      </c>
      <c r="B5">
        <f t="shared" ca="1" si="0"/>
        <v>131.83333333333334</v>
      </c>
      <c r="I5">
        <v>3</v>
      </c>
      <c r="J5" s="1">
        <v>130</v>
      </c>
      <c r="K5" s="1">
        <v>138</v>
      </c>
      <c r="M5">
        <v>3</v>
      </c>
      <c r="N5">
        <v>130</v>
      </c>
      <c r="O5">
        <v>138</v>
      </c>
    </row>
    <row r="6" spans="1:15">
      <c r="A6" s="1">
        <v>140</v>
      </c>
      <c r="B6">
        <f t="shared" ca="1" si="0"/>
        <v>132.33333333333334</v>
      </c>
      <c r="I6">
        <v>4</v>
      </c>
      <c r="J6" s="1">
        <v>141</v>
      </c>
      <c r="K6" s="1">
        <v>136</v>
      </c>
    </row>
    <row r="7" spans="1:15">
      <c r="A7" s="1">
        <v>134</v>
      </c>
      <c r="B7">
        <f t="shared" ca="1" si="0"/>
        <v>133.36666666666667</v>
      </c>
      <c r="I7">
        <v>5</v>
      </c>
      <c r="J7" s="1">
        <v>124</v>
      </c>
      <c r="K7" s="1">
        <v>133</v>
      </c>
      <c r="M7" cm="1">
        <f t="array" ref="M7:O8">_xlfn.TAKE(I3:K8,-2)</f>
        <v>5</v>
      </c>
      <c r="N7">
        <v>124</v>
      </c>
      <c r="O7">
        <v>133</v>
      </c>
    </row>
    <row r="8" spans="1:15">
      <c r="A8" s="1">
        <v>145</v>
      </c>
      <c r="B8">
        <f t="shared" ca="1" si="0"/>
        <v>131.86666666666667</v>
      </c>
      <c r="I8">
        <v>6</v>
      </c>
      <c r="J8" s="1">
        <v>142</v>
      </c>
      <c r="K8" s="1">
        <v>126</v>
      </c>
      <c r="M8">
        <v>6</v>
      </c>
      <c r="N8">
        <v>142</v>
      </c>
      <c r="O8">
        <v>126</v>
      </c>
    </row>
    <row r="9" spans="1:15">
      <c r="A9" s="1">
        <v>117</v>
      </c>
      <c r="B9">
        <f t="shared" ca="1" si="0"/>
        <v>132.76666666666668</v>
      </c>
    </row>
    <row r="10" spans="1:15">
      <c r="A10" s="1">
        <v>135</v>
      </c>
      <c r="B10">
        <f t="shared" ca="1" si="0"/>
        <v>134.86666666666667</v>
      </c>
      <c r="M10" cm="1">
        <f t="array" ref="M10:N15">_xlfn.TAKE(I3:K8,,2)</f>
        <v>1</v>
      </c>
      <c r="N10">
        <v>139</v>
      </c>
    </row>
    <row r="11" spans="1:15">
      <c r="A11" s="1">
        <v>130</v>
      </c>
      <c r="B11">
        <f t="shared" ca="1" si="0"/>
        <v>133.66666666666666</v>
      </c>
      <c r="M11">
        <v>2</v>
      </c>
      <c r="N11">
        <v>134</v>
      </c>
    </row>
    <row r="12" spans="1:15">
      <c r="A12" s="1">
        <v>134</v>
      </c>
      <c r="B12">
        <f t="shared" ca="1" si="0"/>
        <v>132.53333333333333</v>
      </c>
      <c r="M12">
        <v>3</v>
      </c>
      <c r="N12">
        <v>130</v>
      </c>
    </row>
    <row r="13" spans="1:15">
      <c r="A13" s="1">
        <v>131</v>
      </c>
      <c r="B13">
        <f t="shared" ca="1" si="0"/>
        <v>132.03333333333333</v>
      </c>
      <c r="M13">
        <v>4</v>
      </c>
      <c r="N13">
        <v>141</v>
      </c>
    </row>
    <row r="14" spans="1:15">
      <c r="A14" s="1">
        <v>125</v>
      </c>
      <c r="B14">
        <f t="shared" ca="1" si="0"/>
        <v>132.26666666666668</v>
      </c>
      <c r="J14" cm="1">
        <f t="array" ref="J14:J23">_xlfn.SEQUENCE(10)</f>
        <v>1</v>
      </c>
      <c r="M14">
        <v>5</v>
      </c>
      <c r="N14">
        <v>124</v>
      </c>
    </row>
    <row r="15" spans="1:15">
      <c r="A15" s="1">
        <v>137</v>
      </c>
      <c r="B15">
        <f t="shared" ca="1" si="0"/>
        <v>133.30000000000001</v>
      </c>
      <c r="J15">
        <v>2</v>
      </c>
      <c r="M15">
        <v>6</v>
      </c>
      <c r="N15">
        <v>142</v>
      </c>
    </row>
    <row r="16" spans="1:15">
      <c r="A16" s="1">
        <v>130</v>
      </c>
      <c r="B16">
        <f t="shared" ca="1" si="0"/>
        <v>133.4</v>
      </c>
      <c r="J16">
        <v>3</v>
      </c>
    </row>
    <row r="17" spans="1:10">
      <c r="A17" s="1">
        <v>131</v>
      </c>
      <c r="B17">
        <f t="shared" ca="1" si="0"/>
        <v>132.63333333333333</v>
      </c>
      <c r="J17">
        <v>4</v>
      </c>
    </row>
    <row r="18" spans="1:10">
      <c r="A18" s="1">
        <v>125</v>
      </c>
      <c r="B18">
        <f t="shared" ca="1" si="0"/>
        <v>134.53333333333333</v>
      </c>
      <c r="J18">
        <v>5</v>
      </c>
    </row>
    <row r="19" spans="1:10">
      <c r="A19" s="1">
        <v>139</v>
      </c>
      <c r="B19">
        <f t="shared" ca="1" si="0"/>
        <v>133.73333333333332</v>
      </c>
      <c r="J19">
        <v>6</v>
      </c>
    </row>
    <row r="20" spans="1:10">
      <c r="A20" s="1">
        <v>124</v>
      </c>
      <c r="B20">
        <f t="shared" ca="1" si="0"/>
        <v>133.5</v>
      </c>
      <c r="J20">
        <v>7</v>
      </c>
    </row>
    <row r="21" spans="1:10">
      <c r="A21" s="1">
        <v>134</v>
      </c>
      <c r="B21">
        <f t="shared" ca="1" si="0"/>
        <v>133.9</v>
      </c>
      <c r="J21">
        <v>8</v>
      </c>
    </row>
    <row r="22" spans="1:10">
      <c r="A22" s="1">
        <v>140</v>
      </c>
      <c r="B22">
        <f t="shared" ca="1" si="0"/>
        <v>133.13333333333333</v>
      </c>
      <c r="J22">
        <v>9</v>
      </c>
    </row>
    <row r="23" spans="1:10">
      <c r="A23" s="1">
        <v>142</v>
      </c>
      <c r="B23">
        <f t="shared" ca="1" si="0"/>
        <v>133.76666666666668</v>
      </c>
      <c r="J23">
        <v>10</v>
      </c>
    </row>
    <row r="24" spans="1:10">
      <c r="A24" s="1">
        <v>143</v>
      </c>
      <c r="B24">
        <f t="shared" ca="1" si="0"/>
        <v>133.26666666666668</v>
      </c>
    </row>
    <row r="25" spans="1:10">
      <c r="A25" s="1">
        <v>132</v>
      </c>
      <c r="B25">
        <f t="shared" ca="1" si="0"/>
        <v>132.80000000000001</v>
      </c>
    </row>
    <row r="26" spans="1:10">
      <c r="A26" s="1">
        <v>143</v>
      </c>
      <c r="B26">
        <f t="shared" ca="1" si="0"/>
        <v>133.63333333333333</v>
      </c>
    </row>
    <row r="27" spans="1:10">
      <c r="A27" s="1">
        <v>143</v>
      </c>
      <c r="B27">
        <f t="shared" ca="1" si="0"/>
        <v>135.33333333333334</v>
      </c>
    </row>
    <row r="28" spans="1:10">
      <c r="A28" s="1">
        <v>142</v>
      </c>
      <c r="B28">
        <f t="shared" ca="1" si="0"/>
        <v>132.26666666666668</v>
      </c>
    </row>
    <row r="29" spans="1:10">
      <c r="A29" s="1">
        <v>147</v>
      </c>
      <c r="B29">
        <f t="shared" ca="1" si="0"/>
        <v>131.69999999999999</v>
      </c>
    </row>
    <row r="30" spans="1:10">
      <c r="A30" s="1">
        <v>133</v>
      </c>
      <c r="B30">
        <f t="shared" ca="1" si="0"/>
        <v>133.03333333333333</v>
      </c>
    </row>
    <row r="31" spans="1:10">
      <c r="A31" s="1">
        <v>132</v>
      </c>
      <c r="B31">
        <f t="shared" ca="1" si="0"/>
        <v>130.4</v>
      </c>
    </row>
    <row r="32" spans="1:10">
      <c r="A32" s="1">
        <v>131</v>
      </c>
      <c r="B32">
        <f t="shared" ca="1" si="0"/>
        <v>133.96666666666667</v>
      </c>
    </row>
    <row r="33" spans="1:2">
      <c r="A33" s="1">
        <v>140</v>
      </c>
      <c r="B33">
        <f t="shared" ca="1" si="0"/>
        <v>132.23333333333332</v>
      </c>
    </row>
    <row r="34" spans="1:2">
      <c r="A34" s="1">
        <v>122</v>
      </c>
      <c r="B34">
        <f t="shared" ca="1" si="0"/>
        <v>131.9</v>
      </c>
    </row>
    <row r="35" spans="1:2">
      <c r="A35" s="1">
        <v>131</v>
      </c>
      <c r="B35">
        <f t="shared" ca="1" si="0"/>
        <v>134.33333333333334</v>
      </c>
    </row>
    <row r="36" spans="1:2">
      <c r="A36" s="1">
        <v>137</v>
      </c>
      <c r="B36">
        <f t="shared" ca="1" si="0"/>
        <v>131.13333333333333</v>
      </c>
    </row>
    <row r="37" spans="1:2">
      <c r="A37" s="1">
        <v>136</v>
      </c>
      <c r="B37">
        <f t="shared" ca="1" si="0"/>
        <v>133.4</v>
      </c>
    </row>
    <row r="38" spans="1:2">
      <c r="A38" s="1">
        <v>134</v>
      </c>
      <c r="B38">
        <f t="shared" ca="1" si="0"/>
        <v>132.56666666666666</v>
      </c>
    </row>
    <row r="39" spans="1:2">
      <c r="A39" s="1">
        <v>126</v>
      </c>
      <c r="B39">
        <f t="shared" ca="1" si="0"/>
        <v>132.16666666666666</v>
      </c>
    </row>
    <row r="40" spans="1:2">
      <c r="A40" s="1">
        <v>132</v>
      </c>
      <c r="B40">
        <f t="shared" ca="1" si="0"/>
        <v>133.23333333333332</v>
      </c>
    </row>
    <row r="41" spans="1:2">
      <c r="A41" s="1">
        <v>130</v>
      </c>
      <c r="B41">
        <f t="shared" ca="1" si="0"/>
        <v>134.43333333333334</v>
      </c>
    </row>
    <row r="42" spans="1:2">
      <c r="A42" s="1">
        <v>138</v>
      </c>
      <c r="B42">
        <f t="shared" ca="1" si="0"/>
        <v>133.06666666666666</v>
      </c>
    </row>
    <row r="43" spans="1:2">
      <c r="A43" s="1">
        <v>141</v>
      </c>
      <c r="B43">
        <f t="shared" ca="1" si="0"/>
        <v>132.6</v>
      </c>
    </row>
    <row r="44" spans="1:2">
      <c r="A44" s="1">
        <v>125</v>
      </c>
      <c r="B44">
        <f t="shared" ca="1" si="0"/>
        <v>132.76666666666668</v>
      </c>
    </row>
    <row r="45" spans="1:2">
      <c r="A45" s="1">
        <v>144</v>
      </c>
      <c r="B45">
        <f t="shared" ca="1" si="0"/>
        <v>132.5</v>
      </c>
    </row>
    <row r="46" spans="1:2">
      <c r="A46" s="1">
        <v>134</v>
      </c>
      <c r="B46">
        <f t="shared" ca="1" si="0"/>
        <v>131.30000000000001</v>
      </c>
    </row>
    <row r="47" spans="1:2">
      <c r="A47" s="1">
        <v>131</v>
      </c>
      <c r="B47">
        <f t="shared" ca="1" si="0"/>
        <v>134.73333333333332</v>
      </c>
    </row>
    <row r="48" spans="1:2">
      <c r="A48" s="1">
        <v>129</v>
      </c>
      <c r="B48">
        <f t="shared" ca="1" si="0"/>
        <v>134.4</v>
      </c>
    </row>
    <row r="49" spans="1:2">
      <c r="A49" s="1">
        <v>136</v>
      </c>
      <c r="B49">
        <f t="shared" ca="1" si="0"/>
        <v>131.69999999999999</v>
      </c>
    </row>
    <row r="50" spans="1:2">
      <c r="A50" s="1">
        <v>128</v>
      </c>
      <c r="B50">
        <f t="shared" ca="1" si="0"/>
        <v>132.19999999999999</v>
      </c>
    </row>
    <row r="51" spans="1:2">
      <c r="A51" s="1">
        <v>132</v>
      </c>
      <c r="B51">
        <f t="shared" ca="1" si="0"/>
        <v>133.13333333333333</v>
      </c>
    </row>
    <row r="52" spans="1:2">
      <c r="A52" s="1">
        <v>132</v>
      </c>
      <c r="B52">
        <f t="shared" ca="1" si="0"/>
        <v>131.5</v>
      </c>
    </row>
    <row r="53" spans="1:2">
      <c r="A53" s="1">
        <v>134</v>
      </c>
      <c r="B53">
        <f t="shared" ca="1" si="0"/>
        <v>132.06666666666666</v>
      </c>
    </row>
    <row r="54" spans="1:2">
      <c r="A54" s="1">
        <v>149</v>
      </c>
      <c r="B54">
        <f t="shared" ca="1" si="0"/>
        <v>131.33333333333334</v>
      </c>
    </row>
    <row r="55" spans="1:2">
      <c r="A55" s="1">
        <v>132</v>
      </c>
      <c r="B55">
        <f t="shared" ca="1" si="0"/>
        <v>134.26666666666668</v>
      </c>
    </row>
    <row r="56" spans="1:2">
      <c r="A56" s="1">
        <v>139</v>
      </c>
      <c r="B56">
        <f t="shared" ca="1" si="0"/>
        <v>134.9</v>
      </c>
    </row>
    <row r="57" spans="1:2">
      <c r="A57" s="1">
        <v>139</v>
      </c>
      <c r="B57">
        <f t="shared" ca="1" si="0"/>
        <v>133.73333333333332</v>
      </c>
    </row>
    <row r="58" spans="1:2">
      <c r="A58" s="1">
        <v>133</v>
      </c>
      <c r="B58">
        <f t="shared" ca="1" si="0"/>
        <v>132.83333333333334</v>
      </c>
    </row>
    <row r="59" spans="1:2">
      <c r="A59" s="1">
        <v>133</v>
      </c>
      <c r="B59">
        <f t="shared" ca="1" si="0"/>
        <v>132.69999999999999</v>
      </c>
    </row>
    <row r="60" spans="1:2">
      <c r="A60" s="1">
        <v>127</v>
      </c>
      <c r="B60">
        <f t="shared" ca="1" si="0"/>
        <v>134.03333333333333</v>
      </c>
    </row>
    <row r="61" spans="1:2">
      <c r="A61" s="1">
        <v>119</v>
      </c>
      <c r="B61">
        <f t="shared" ca="1" si="0"/>
        <v>134.16666666666666</v>
      </c>
    </row>
    <row r="62" spans="1:2">
      <c r="A62" s="1">
        <v>131</v>
      </c>
      <c r="B62">
        <f t="shared" ca="1" si="0"/>
        <v>132</v>
      </c>
    </row>
    <row r="63" spans="1:2">
      <c r="A63" s="1">
        <v>129</v>
      </c>
      <c r="B63">
        <f t="shared" ca="1" si="0"/>
        <v>132.16666666666666</v>
      </c>
    </row>
    <row r="64" spans="1:2">
      <c r="A64" s="1">
        <v>132</v>
      </c>
      <c r="B64">
        <f t="shared" ca="1" si="0"/>
        <v>134.1</v>
      </c>
    </row>
    <row r="65" spans="1:2">
      <c r="A65" s="1">
        <v>154</v>
      </c>
      <c r="B65">
        <f t="shared" ca="1" si="0"/>
        <v>133.6</v>
      </c>
    </row>
    <row r="66" spans="1:2">
      <c r="A66" s="1">
        <v>110</v>
      </c>
      <c r="B66">
        <f t="shared" ca="1" si="0"/>
        <v>131.86666666666667</v>
      </c>
    </row>
    <row r="67" spans="1:2">
      <c r="A67" s="1">
        <v>138</v>
      </c>
      <c r="B67">
        <f t="shared" ref="B67:B130" ca="1" si="1">AVERAGE(_xlfn.TAKE(_xlfn.SORTBY($A$2:$A$211,_xlfn.RANDARRAY(ROWS($A$2:$A$211))),30))</f>
        <v>134.30000000000001</v>
      </c>
    </row>
    <row r="68" spans="1:2">
      <c r="A68" s="1">
        <v>125</v>
      </c>
      <c r="B68">
        <f t="shared" ca="1" si="1"/>
        <v>133.9</v>
      </c>
    </row>
    <row r="69" spans="1:2">
      <c r="A69" s="1">
        <v>134</v>
      </c>
      <c r="B69">
        <f t="shared" ca="1" si="1"/>
        <v>131.36666666666667</v>
      </c>
    </row>
    <row r="70" spans="1:2">
      <c r="A70" s="1">
        <v>139</v>
      </c>
      <c r="B70">
        <f t="shared" ca="1" si="1"/>
        <v>131.76666666666668</v>
      </c>
    </row>
    <row r="71" spans="1:2">
      <c r="A71" s="1">
        <v>128</v>
      </c>
      <c r="B71">
        <f t="shared" ca="1" si="1"/>
        <v>131.4</v>
      </c>
    </row>
    <row r="72" spans="1:2">
      <c r="A72" s="1">
        <v>129</v>
      </c>
      <c r="B72">
        <f t="shared" ca="1" si="1"/>
        <v>134.36666666666667</v>
      </c>
    </row>
    <row r="73" spans="1:2">
      <c r="A73" s="1">
        <v>133</v>
      </c>
      <c r="B73">
        <f t="shared" ca="1" si="1"/>
        <v>133.86666666666667</v>
      </c>
    </row>
    <row r="74" spans="1:2">
      <c r="A74" s="1">
        <v>140</v>
      </c>
      <c r="B74">
        <f t="shared" ca="1" si="1"/>
        <v>133.73333333333332</v>
      </c>
    </row>
    <row r="75" spans="1:2">
      <c r="A75" s="1">
        <v>129</v>
      </c>
      <c r="B75">
        <f t="shared" ca="1" si="1"/>
        <v>136.19999999999999</v>
      </c>
    </row>
    <row r="76" spans="1:2">
      <c r="A76" s="1">
        <v>135</v>
      </c>
      <c r="B76">
        <f t="shared" ca="1" si="1"/>
        <v>132.23333333333332</v>
      </c>
    </row>
    <row r="77" spans="1:2">
      <c r="A77" s="1">
        <v>128</v>
      </c>
      <c r="B77">
        <f t="shared" ca="1" si="1"/>
        <v>132</v>
      </c>
    </row>
    <row r="78" spans="1:2">
      <c r="A78" s="1">
        <v>138</v>
      </c>
      <c r="B78">
        <f t="shared" ca="1" si="1"/>
        <v>132.53333333333333</v>
      </c>
    </row>
    <row r="79" spans="1:2">
      <c r="A79" s="1">
        <v>127</v>
      </c>
      <c r="B79">
        <f t="shared" ca="1" si="1"/>
        <v>132.06666666666666</v>
      </c>
    </row>
    <row r="80" spans="1:2">
      <c r="A80" s="1">
        <v>142</v>
      </c>
      <c r="B80">
        <f t="shared" ca="1" si="1"/>
        <v>132.93333333333334</v>
      </c>
    </row>
    <row r="81" spans="1:2">
      <c r="A81" s="1">
        <v>118</v>
      </c>
      <c r="B81">
        <f t="shared" ca="1" si="1"/>
        <v>132.66666666666666</v>
      </c>
    </row>
    <row r="82" spans="1:2">
      <c r="A82" s="1">
        <v>129</v>
      </c>
      <c r="B82">
        <f t="shared" ca="1" si="1"/>
        <v>134.1</v>
      </c>
    </row>
    <row r="83" spans="1:2">
      <c r="A83" s="1">
        <v>132</v>
      </c>
      <c r="B83">
        <f t="shared" ca="1" si="1"/>
        <v>134.26666666666668</v>
      </c>
    </row>
    <row r="84" spans="1:2">
      <c r="A84" s="1">
        <v>141</v>
      </c>
      <c r="B84">
        <f t="shared" ca="1" si="1"/>
        <v>131.46666666666667</v>
      </c>
    </row>
    <row r="85" spans="1:2">
      <c r="A85" s="1">
        <v>157</v>
      </c>
      <c r="B85">
        <f t="shared" ca="1" si="1"/>
        <v>130.9</v>
      </c>
    </row>
    <row r="86" spans="1:2">
      <c r="A86" s="1">
        <v>129</v>
      </c>
      <c r="B86">
        <f t="shared" ca="1" si="1"/>
        <v>133.23333333333332</v>
      </c>
    </row>
    <row r="87" spans="1:2">
      <c r="A87" s="1">
        <v>137</v>
      </c>
      <c r="B87">
        <f t="shared" ca="1" si="1"/>
        <v>133.83333333333334</v>
      </c>
    </row>
    <row r="88" spans="1:2">
      <c r="A88" s="1">
        <v>132</v>
      </c>
      <c r="B88">
        <f t="shared" ca="1" si="1"/>
        <v>134.36666666666667</v>
      </c>
    </row>
    <row r="89" spans="1:2">
      <c r="A89" s="1">
        <v>131</v>
      </c>
      <c r="B89">
        <f t="shared" ca="1" si="1"/>
        <v>132.5</v>
      </c>
    </row>
    <row r="90" spans="1:2">
      <c r="A90" s="1">
        <v>127</v>
      </c>
      <c r="B90">
        <f t="shared" ca="1" si="1"/>
        <v>132.43333333333334</v>
      </c>
    </row>
    <row r="91" spans="1:2">
      <c r="A91" s="1">
        <v>135</v>
      </c>
      <c r="B91">
        <f t="shared" ca="1" si="1"/>
        <v>135</v>
      </c>
    </row>
    <row r="92" spans="1:2">
      <c r="A92" s="1">
        <v>134</v>
      </c>
      <c r="B92">
        <f t="shared" ca="1" si="1"/>
        <v>131.9</v>
      </c>
    </row>
    <row r="93" spans="1:2">
      <c r="A93" s="1">
        <v>127</v>
      </c>
      <c r="B93">
        <f t="shared" ca="1" si="1"/>
        <v>135.36666666666667</v>
      </c>
    </row>
    <row r="94" spans="1:2">
      <c r="A94" s="1">
        <v>132</v>
      </c>
      <c r="B94">
        <f t="shared" ca="1" si="1"/>
        <v>131.43333333333334</v>
      </c>
    </row>
    <row r="95" spans="1:2">
      <c r="A95" s="1">
        <v>124</v>
      </c>
      <c r="B95">
        <f t="shared" ca="1" si="1"/>
        <v>135.43333333333334</v>
      </c>
    </row>
    <row r="96" spans="1:2">
      <c r="A96" s="1">
        <v>129</v>
      </c>
      <c r="B96">
        <f t="shared" ca="1" si="1"/>
        <v>133</v>
      </c>
    </row>
    <row r="97" spans="1:2">
      <c r="A97" s="1">
        <v>132</v>
      </c>
      <c r="B97">
        <f t="shared" ca="1" si="1"/>
        <v>133.4</v>
      </c>
    </row>
    <row r="98" spans="1:2">
      <c r="A98" s="1">
        <v>140</v>
      </c>
      <c r="B98">
        <f t="shared" ca="1" si="1"/>
        <v>131.53333333333333</v>
      </c>
    </row>
    <row r="99" spans="1:2">
      <c r="A99" s="1">
        <v>132</v>
      </c>
      <c r="B99">
        <f t="shared" ca="1" si="1"/>
        <v>132.43333333333334</v>
      </c>
    </row>
    <row r="100" spans="1:2">
      <c r="A100" s="1">
        <v>135</v>
      </c>
      <c r="B100">
        <f t="shared" ca="1" si="1"/>
        <v>132.16666666666666</v>
      </c>
    </row>
    <row r="101" spans="1:2">
      <c r="A101" s="1">
        <v>141</v>
      </c>
      <c r="B101">
        <f t="shared" ca="1" si="1"/>
        <v>133.26666666666668</v>
      </c>
    </row>
    <row r="102" spans="1:2">
      <c r="A102" s="1">
        <v>132</v>
      </c>
      <c r="B102">
        <f t="shared" ca="1" si="1"/>
        <v>133.36666666666667</v>
      </c>
    </row>
    <row r="103" spans="1:2">
      <c r="A103" s="1">
        <v>133</v>
      </c>
      <c r="B103">
        <f t="shared" ca="1" si="1"/>
        <v>130.63333333333333</v>
      </c>
    </row>
    <row r="104" spans="1:2">
      <c r="A104" s="1">
        <v>134</v>
      </c>
      <c r="B104">
        <f t="shared" ca="1" si="1"/>
        <v>132.76666666666668</v>
      </c>
    </row>
    <row r="105" spans="1:2">
      <c r="A105" s="1">
        <v>140</v>
      </c>
      <c r="B105">
        <f t="shared" ca="1" si="1"/>
        <v>132.5</v>
      </c>
    </row>
    <row r="106" spans="1:2">
      <c r="A106" s="1">
        <v>133</v>
      </c>
      <c r="B106">
        <f t="shared" ca="1" si="1"/>
        <v>133.66666666666666</v>
      </c>
    </row>
    <row r="107" spans="1:2">
      <c r="A107" s="1">
        <v>134</v>
      </c>
      <c r="B107">
        <f t="shared" ca="1" si="1"/>
        <v>131.6</v>
      </c>
    </row>
    <row r="108" spans="1:2">
      <c r="A108" s="1">
        <v>129</v>
      </c>
      <c r="B108">
        <f t="shared" ca="1" si="1"/>
        <v>131.66666666666666</v>
      </c>
    </row>
    <row r="109" spans="1:2">
      <c r="A109" s="1">
        <v>133</v>
      </c>
      <c r="B109">
        <f t="shared" ca="1" si="1"/>
        <v>133.26666666666668</v>
      </c>
    </row>
    <row r="110" spans="1:2">
      <c r="A110" s="1">
        <v>130</v>
      </c>
      <c r="B110">
        <f t="shared" ca="1" si="1"/>
        <v>132.76666666666668</v>
      </c>
    </row>
    <row r="111" spans="1:2">
      <c r="A111" s="1">
        <v>132</v>
      </c>
      <c r="B111">
        <f t="shared" ca="1" si="1"/>
        <v>132.6</v>
      </c>
    </row>
    <row r="112" spans="1:2">
      <c r="A112" s="1">
        <v>137</v>
      </c>
      <c r="B112">
        <f t="shared" ca="1" si="1"/>
        <v>132.96666666666667</v>
      </c>
    </row>
    <row r="113" spans="1:2">
      <c r="A113" s="1">
        <v>142</v>
      </c>
      <c r="B113">
        <f t="shared" ca="1" si="1"/>
        <v>133.80000000000001</v>
      </c>
    </row>
    <row r="114" spans="1:2">
      <c r="A114" s="1">
        <v>122</v>
      </c>
      <c r="B114">
        <f t="shared" ca="1" si="1"/>
        <v>133.9</v>
      </c>
    </row>
    <row r="115" spans="1:2">
      <c r="A115" s="1">
        <v>128</v>
      </c>
      <c r="B115">
        <f t="shared" ca="1" si="1"/>
        <v>135.5</v>
      </c>
    </row>
    <row r="116" spans="1:2">
      <c r="A116" s="1">
        <v>128</v>
      </c>
      <c r="B116">
        <f t="shared" ca="1" si="1"/>
        <v>133.63333333333333</v>
      </c>
    </row>
    <row r="117" spans="1:2">
      <c r="A117" s="1">
        <v>125</v>
      </c>
      <c r="B117">
        <f t="shared" ca="1" si="1"/>
        <v>132.93333333333334</v>
      </c>
    </row>
    <row r="118" spans="1:2">
      <c r="A118" s="1">
        <v>128</v>
      </c>
      <c r="B118">
        <f t="shared" ca="1" si="1"/>
        <v>133.36666666666667</v>
      </c>
    </row>
    <row r="119" spans="1:2">
      <c r="A119" s="1">
        <v>126</v>
      </c>
      <c r="B119">
        <f t="shared" ca="1" si="1"/>
        <v>132.56666666666666</v>
      </c>
    </row>
    <row r="120" spans="1:2">
      <c r="A120" s="1">
        <v>130</v>
      </c>
      <c r="B120">
        <f t="shared" ca="1" si="1"/>
        <v>132.73333333333332</v>
      </c>
    </row>
    <row r="121" spans="1:2">
      <c r="A121" s="1">
        <v>136</v>
      </c>
      <c r="B121">
        <f t="shared" ca="1" si="1"/>
        <v>132.33333333333334</v>
      </c>
    </row>
    <row r="122" spans="1:2">
      <c r="A122" s="1">
        <v>154</v>
      </c>
      <c r="B122">
        <f t="shared" ca="1" si="1"/>
        <v>131.93333333333334</v>
      </c>
    </row>
    <row r="123" spans="1:2">
      <c r="A123" s="1">
        <v>140</v>
      </c>
      <c r="B123">
        <f t="shared" ca="1" si="1"/>
        <v>132.5</v>
      </c>
    </row>
    <row r="124" spans="1:2">
      <c r="A124" s="1">
        <v>136</v>
      </c>
      <c r="B124">
        <f t="shared" ca="1" si="1"/>
        <v>132.93333333333334</v>
      </c>
    </row>
    <row r="125" spans="1:2">
      <c r="A125" s="1">
        <v>139</v>
      </c>
      <c r="B125">
        <f t="shared" ca="1" si="1"/>
        <v>134.23333333333332</v>
      </c>
    </row>
    <row r="126" spans="1:2">
      <c r="A126" s="1">
        <v>138</v>
      </c>
      <c r="B126">
        <f t="shared" ca="1" si="1"/>
        <v>132.9</v>
      </c>
    </row>
    <row r="127" spans="1:2">
      <c r="A127" s="1">
        <v>139</v>
      </c>
      <c r="B127">
        <f t="shared" ca="1" si="1"/>
        <v>133.76666666666668</v>
      </c>
    </row>
    <row r="128" spans="1:2">
      <c r="A128" s="1">
        <v>133</v>
      </c>
      <c r="B128">
        <f t="shared" ca="1" si="1"/>
        <v>133.86666666666667</v>
      </c>
    </row>
    <row r="129" spans="1:2">
      <c r="A129" s="1">
        <v>140</v>
      </c>
      <c r="B129">
        <f t="shared" ca="1" si="1"/>
        <v>131.63333333333333</v>
      </c>
    </row>
    <row r="130" spans="1:2">
      <c r="A130" s="1">
        <v>134</v>
      </c>
      <c r="B130">
        <f t="shared" ca="1" si="1"/>
        <v>134.33333333333334</v>
      </c>
    </row>
    <row r="131" spans="1:2">
      <c r="A131" s="1">
        <v>133</v>
      </c>
      <c r="B131">
        <f t="shared" ref="B131:B194" ca="1" si="2">AVERAGE(_xlfn.TAKE(_xlfn.SORTBY($A$2:$A$211,_xlfn.RANDARRAY(ROWS($A$2:$A$211))),30))</f>
        <v>133.46666666666667</v>
      </c>
    </row>
    <row r="132" spans="1:2">
      <c r="A132" s="1">
        <v>136</v>
      </c>
      <c r="B132">
        <f t="shared" ca="1" si="2"/>
        <v>134.13333333333333</v>
      </c>
    </row>
    <row r="133" spans="1:2">
      <c r="A133" s="1">
        <v>135</v>
      </c>
      <c r="B133">
        <f t="shared" ca="1" si="2"/>
        <v>132.43333333333334</v>
      </c>
    </row>
    <row r="134" spans="1:2">
      <c r="A134" s="1">
        <v>146</v>
      </c>
      <c r="B134">
        <f t="shared" ca="1" si="2"/>
        <v>133.56666666666666</v>
      </c>
    </row>
    <row r="135" spans="1:2">
      <c r="A135" s="1">
        <v>137</v>
      </c>
      <c r="B135">
        <f t="shared" ca="1" si="2"/>
        <v>132.96666666666667</v>
      </c>
    </row>
    <row r="136" spans="1:2">
      <c r="A136" s="1">
        <v>130</v>
      </c>
      <c r="B136">
        <f t="shared" ca="1" si="2"/>
        <v>133.36666666666667</v>
      </c>
    </row>
    <row r="137" spans="1:2">
      <c r="A137" s="1">
        <v>132</v>
      </c>
      <c r="B137">
        <f t="shared" ca="1" si="2"/>
        <v>133.56666666666666</v>
      </c>
    </row>
    <row r="138" spans="1:2">
      <c r="A138" s="1">
        <v>128</v>
      </c>
      <c r="B138">
        <f t="shared" ca="1" si="2"/>
        <v>133.19999999999999</v>
      </c>
    </row>
    <row r="139" spans="1:2">
      <c r="A139" s="1">
        <v>124</v>
      </c>
      <c r="B139">
        <f t="shared" ca="1" si="2"/>
        <v>133.6</v>
      </c>
    </row>
    <row r="140" spans="1:2">
      <c r="A140" s="1">
        <v>141</v>
      </c>
      <c r="B140">
        <f t="shared" ca="1" si="2"/>
        <v>133.86666666666667</v>
      </c>
    </row>
    <row r="141" spans="1:2">
      <c r="A141" s="1">
        <v>140</v>
      </c>
      <c r="B141">
        <f t="shared" ca="1" si="2"/>
        <v>133.56666666666666</v>
      </c>
    </row>
    <row r="142" spans="1:2">
      <c r="A142" s="1">
        <v>126</v>
      </c>
      <c r="B142">
        <f t="shared" ca="1" si="2"/>
        <v>133.03333333333333</v>
      </c>
    </row>
    <row r="143" spans="1:2">
      <c r="A143" s="1">
        <v>129</v>
      </c>
      <c r="B143">
        <f t="shared" ca="1" si="2"/>
        <v>132.43333333333334</v>
      </c>
    </row>
    <row r="144" spans="1:2">
      <c r="A144" s="1">
        <v>133</v>
      </c>
      <c r="B144">
        <f t="shared" ca="1" si="2"/>
        <v>133.13333333333333</v>
      </c>
    </row>
    <row r="145" spans="1:2">
      <c r="A145" s="1">
        <v>142</v>
      </c>
      <c r="B145">
        <f t="shared" ca="1" si="2"/>
        <v>132.46666666666667</v>
      </c>
    </row>
    <row r="146" spans="1:2">
      <c r="A146" s="1">
        <v>136</v>
      </c>
      <c r="B146">
        <f t="shared" ca="1" si="2"/>
        <v>132.36666666666667</v>
      </c>
    </row>
    <row r="147" spans="1:2">
      <c r="A147" s="1">
        <v>146</v>
      </c>
      <c r="B147">
        <f t="shared" ca="1" si="2"/>
        <v>132.93333333333334</v>
      </c>
    </row>
    <row r="148" spans="1:2">
      <c r="A148" s="1">
        <v>141</v>
      </c>
      <c r="B148">
        <f t="shared" ca="1" si="2"/>
        <v>130.43333333333334</v>
      </c>
    </row>
    <row r="149" spans="1:2">
      <c r="A149" s="1">
        <v>139</v>
      </c>
      <c r="B149">
        <f t="shared" ca="1" si="2"/>
        <v>131.1</v>
      </c>
    </row>
    <row r="150" spans="1:2">
      <c r="A150" s="1">
        <v>131</v>
      </c>
      <c r="B150">
        <f t="shared" ca="1" si="2"/>
        <v>131.53333333333333</v>
      </c>
    </row>
    <row r="151" spans="1:2">
      <c r="A151" s="1">
        <v>125</v>
      </c>
      <c r="B151">
        <f t="shared" ca="1" si="2"/>
        <v>132.13333333333333</v>
      </c>
    </row>
    <row r="152" spans="1:2">
      <c r="A152" s="1">
        <v>136</v>
      </c>
      <c r="B152">
        <f t="shared" ca="1" si="2"/>
        <v>132.13333333333333</v>
      </c>
    </row>
    <row r="153" spans="1:2">
      <c r="A153" s="1">
        <v>126</v>
      </c>
      <c r="B153">
        <f t="shared" ca="1" si="2"/>
        <v>132.43333333333334</v>
      </c>
    </row>
    <row r="154" spans="1:2">
      <c r="A154" s="1">
        <v>143</v>
      </c>
      <c r="B154">
        <f t="shared" ca="1" si="2"/>
        <v>132.80000000000001</v>
      </c>
    </row>
    <row r="155" spans="1:2">
      <c r="A155" s="1">
        <v>122</v>
      </c>
      <c r="B155">
        <f t="shared" ca="1" si="2"/>
        <v>132.46666666666667</v>
      </c>
    </row>
    <row r="156" spans="1:2">
      <c r="A156" s="1">
        <v>124</v>
      </c>
      <c r="B156">
        <f t="shared" ca="1" si="2"/>
        <v>132.9</v>
      </c>
    </row>
    <row r="157" spans="1:2">
      <c r="A157" s="1">
        <v>129</v>
      </c>
      <c r="B157">
        <f t="shared" ca="1" si="2"/>
        <v>133.56666666666666</v>
      </c>
    </row>
    <row r="158" spans="1:2">
      <c r="A158" s="1">
        <v>122</v>
      </c>
      <c r="B158">
        <f t="shared" ca="1" si="2"/>
        <v>130.66666666666666</v>
      </c>
    </row>
    <row r="159" spans="1:2">
      <c r="A159" s="1">
        <v>121</v>
      </c>
      <c r="B159">
        <f t="shared" ca="1" si="2"/>
        <v>134.03333333333333</v>
      </c>
    </row>
    <row r="160" spans="1:2">
      <c r="A160" s="1">
        <v>118</v>
      </c>
      <c r="B160">
        <f t="shared" ca="1" si="2"/>
        <v>133.56666666666666</v>
      </c>
    </row>
    <row r="161" spans="1:2">
      <c r="A161" s="1">
        <v>138</v>
      </c>
      <c r="B161">
        <f t="shared" ca="1" si="2"/>
        <v>132.33333333333334</v>
      </c>
    </row>
    <row r="162" spans="1:2">
      <c r="A162" s="1">
        <v>136</v>
      </c>
      <c r="B162">
        <f t="shared" ca="1" si="2"/>
        <v>131.43333333333334</v>
      </c>
    </row>
    <row r="163" spans="1:2">
      <c r="A163" s="1">
        <v>126</v>
      </c>
      <c r="B163">
        <f t="shared" ca="1" si="2"/>
        <v>132.80000000000001</v>
      </c>
    </row>
    <row r="164" spans="1:2">
      <c r="A164" s="1">
        <v>136</v>
      </c>
      <c r="B164">
        <f t="shared" ca="1" si="2"/>
        <v>132.96666666666667</v>
      </c>
    </row>
    <row r="165" spans="1:2">
      <c r="A165" s="1">
        <v>137</v>
      </c>
      <c r="B165">
        <f t="shared" ca="1" si="2"/>
        <v>132.73333333333332</v>
      </c>
    </row>
    <row r="166" spans="1:2">
      <c r="A166" s="1">
        <v>131</v>
      </c>
      <c r="B166">
        <f t="shared" ca="1" si="2"/>
        <v>132.19999999999999</v>
      </c>
    </row>
    <row r="167" spans="1:2">
      <c r="A167" s="1">
        <v>139</v>
      </c>
      <c r="B167">
        <f t="shared" ca="1" si="2"/>
        <v>132.80000000000001</v>
      </c>
    </row>
    <row r="168" spans="1:2">
      <c r="A168" s="1">
        <v>135</v>
      </c>
      <c r="B168">
        <f t="shared" ca="1" si="2"/>
        <v>134.06666666666666</v>
      </c>
    </row>
    <row r="169" spans="1:2">
      <c r="A169" s="1">
        <v>140</v>
      </c>
      <c r="B169">
        <f t="shared" ca="1" si="2"/>
        <v>132.76666666666668</v>
      </c>
    </row>
    <row r="170" spans="1:2">
      <c r="A170" s="1">
        <v>130</v>
      </c>
      <c r="B170">
        <f t="shared" ca="1" si="2"/>
        <v>132.1</v>
      </c>
    </row>
    <row r="171" spans="1:2">
      <c r="A171" s="1">
        <v>137</v>
      </c>
      <c r="B171">
        <f t="shared" ca="1" si="2"/>
        <v>133.56666666666666</v>
      </c>
    </row>
    <row r="172" spans="1:2">
      <c r="A172" s="1">
        <v>129</v>
      </c>
      <c r="B172">
        <f t="shared" ca="1" si="2"/>
        <v>133</v>
      </c>
    </row>
    <row r="173" spans="1:2">
      <c r="A173" s="1">
        <v>129</v>
      </c>
      <c r="B173">
        <f t="shared" ca="1" si="2"/>
        <v>132.36666666666667</v>
      </c>
    </row>
    <row r="174" spans="1:2">
      <c r="A174" s="1">
        <v>133</v>
      </c>
      <c r="B174">
        <f t="shared" ca="1" si="2"/>
        <v>131.6</v>
      </c>
    </row>
    <row r="175" spans="1:2">
      <c r="A175" s="1">
        <v>128</v>
      </c>
      <c r="B175">
        <f t="shared" ca="1" si="2"/>
        <v>132.13333333333333</v>
      </c>
    </row>
    <row r="176" spans="1:2">
      <c r="A176" s="1">
        <v>140</v>
      </c>
      <c r="B176">
        <f t="shared" ca="1" si="2"/>
        <v>132.30000000000001</v>
      </c>
    </row>
    <row r="177" spans="1:2">
      <c r="A177" s="1">
        <v>136</v>
      </c>
      <c r="B177">
        <f t="shared" ca="1" si="2"/>
        <v>133.19999999999999</v>
      </c>
    </row>
    <row r="178" spans="1:2">
      <c r="A178" s="1">
        <v>139</v>
      </c>
      <c r="B178">
        <f t="shared" ca="1" si="2"/>
        <v>131.5</v>
      </c>
    </row>
    <row r="179" spans="1:2">
      <c r="A179" s="1">
        <v>136</v>
      </c>
      <c r="B179">
        <f t="shared" ca="1" si="2"/>
        <v>133.36666666666667</v>
      </c>
    </row>
    <row r="180" spans="1:2">
      <c r="A180" s="1">
        <v>126</v>
      </c>
      <c r="B180">
        <f t="shared" ca="1" si="2"/>
        <v>133.83333333333334</v>
      </c>
    </row>
    <row r="181" spans="1:2">
      <c r="A181" s="1">
        <v>136</v>
      </c>
      <c r="B181">
        <f t="shared" ca="1" si="2"/>
        <v>132.80000000000001</v>
      </c>
    </row>
    <row r="182" spans="1:2">
      <c r="A182" s="1">
        <v>136</v>
      </c>
      <c r="B182">
        <f t="shared" ca="1" si="2"/>
        <v>131.96666666666667</v>
      </c>
    </row>
    <row r="183" spans="1:2">
      <c r="A183" s="1">
        <v>140</v>
      </c>
      <c r="B183">
        <f t="shared" ca="1" si="2"/>
        <v>132.5</v>
      </c>
    </row>
    <row r="184" spans="1:2">
      <c r="A184" s="1">
        <v>129</v>
      </c>
      <c r="B184">
        <f t="shared" ca="1" si="2"/>
        <v>135.4</v>
      </c>
    </row>
    <row r="185" spans="1:2">
      <c r="A185" s="1">
        <v>134</v>
      </c>
      <c r="B185">
        <f t="shared" ca="1" si="2"/>
        <v>133.63333333333333</v>
      </c>
    </row>
    <row r="186" spans="1:2">
      <c r="A186" s="1">
        <v>132</v>
      </c>
      <c r="B186">
        <f t="shared" ca="1" si="2"/>
        <v>133.43333333333334</v>
      </c>
    </row>
    <row r="187" spans="1:2">
      <c r="A187" s="1">
        <v>123</v>
      </c>
      <c r="B187">
        <f t="shared" ca="1" si="2"/>
        <v>132.96666666666667</v>
      </c>
    </row>
    <row r="188" spans="1:2">
      <c r="A188" s="1">
        <v>110</v>
      </c>
      <c r="B188">
        <f t="shared" ca="1" si="2"/>
        <v>132.6</v>
      </c>
    </row>
    <row r="189" spans="1:2">
      <c r="A189" s="1">
        <v>124</v>
      </c>
      <c r="B189">
        <f t="shared" ca="1" si="2"/>
        <v>133.06666666666666</v>
      </c>
    </row>
    <row r="190" spans="1:2">
      <c r="A190" s="1">
        <v>125</v>
      </c>
      <c r="B190">
        <f t="shared" ca="1" si="2"/>
        <v>135.26666666666668</v>
      </c>
    </row>
    <row r="191" spans="1:2">
      <c r="A191" s="1">
        <v>133</v>
      </c>
      <c r="B191">
        <f t="shared" ca="1" si="2"/>
        <v>134.36666666666667</v>
      </c>
    </row>
    <row r="192" spans="1:2">
      <c r="A192" s="1">
        <v>132</v>
      </c>
      <c r="B192">
        <f t="shared" ca="1" si="2"/>
        <v>133.69999999999999</v>
      </c>
    </row>
    <row r="193" spans="1:2">
      <c r="A193" s="1">
        <v>132</v>
      </c>
      <c r="B193">
        <f t="shared" ca="1" si="2"/>
        <v>132.69999999999999</v>
      </c>
    </row>
    <row r="194" spans="1:2">
      <c r="A194" s="1">
        <v>133</v>
      </c>
      <c r="B194">
        <f t="shared" ca="1" si="2"/>
        <v>134.06666666666666</v>
      </c>
    </row>
    <row r="195" spans="1:2">
      <c r="A195" s="1">
        <v>142</v>
      </c>
      <c r="B195">
        <f t="shared" ref="B195:B228" ca="1" si="3">AVERAGE(_xlfn.TAKE(_xlfn.SORTBY($A$2:$A$211,_xlfn.RANDARRAY(ROWS($A$2:$A$211))),30))</f>
        <v>132.30000000000001</v>
      </c>
    </row>
    <row r="196" spans="1:2">
      <c r="A196" s="1">
        <v>139</v>
      </c>
      <c r="B196">
        <f t="shared" ca="1" si="3"/>
        <v>131.93333333333334</v>
      </c>
    </row>
    <row r="197" spans="1:2">
      <c r="A197" s="1">
        <v>140</v>
      </c>
      <c r="B197">
        <f t="shared" ca="1" si="3"/>
        <v>130.66666666666666</v>
      </c>
    </row>
    <row r="198" spans="1:2">
      <c r="A198" s="1">
        <v>125</v>
      </c>
      <c r="B198">
        <f t="shared" ca="1" si="3"/>
        <v>132.53333333333333</v>
      </c>
    </row>
    <row r="199" spans="1:2">
      <c r="A199" s="1">
        <v>133</v>
      </c>
      <c r="B199">
        <f t="shared" ca="1" si="3"/>
        <v>133</v>
      </c>
    </row>
    <row r="200" spans="1:2">
      <c r="A200" s="1">
        <v>126</v>
      </c>
      <c r="B200">
        <f t="shared" ca="1" si="3"/>
        <v>132.69999999999999</v>
      </c>
    </row>
    <row r="201" spans="1:2">
      <c r="A201" s="1">
        <v>131</v>
      </c>
      <c r="B201">
        <f t="shared" ca="1" si="3"/>
        <v>133.53333333333333</v>
      </c>
    </row>
    <row r="202" spans="1:2">
      <c r="A202" s="1">
        <v>130</v>
      </c>
      <c r="B202">
        <f t="shared" ca="1" si="3"/>
        <v>131.4</v>
      </c>
    </row>
    <row r="203" spans="1:2">
      <c r="A203" s="1">
        <v>134</v>
      </c>
      <c r="B203">
        <f t="shared" ca="1" si="3"/>
        <v>132.73333333333332</v>
      </c>
    </row>
    <row r="204" spans="1:2">
      <c r="A204" s="1">
        <v>149</v>
      </c>
      <c r="B204">
        <f t="shared" ca="1" si="3"/>
        <v>132.5</v>
      </c>
    </row>
    <row r="205" spans="1:2">
      <c r="A205" s="1">
        <v>129</v>
      </c>
      <c r="B205">
        <f t="shared" ca="1" si="3"/>
        <v>131.36666666666667</v>
      </c>
    </row>
    <row r="206" spans="1:2">
      <c r="A206" s="1">
        <v>133</v>
      </c>
      <c r="B206">
        <f t="shared" ca="1" si="3"/>
        <v>133.19999999999999</v>
      </c>
    </row>
    <row r="207" spans="1:2">
      <c r="A207" s="1">
        <v>137</v>
      </c>
      <c r="B207">
        <f t="shared" ca="1" si="3"/>
        <v>133.56666666666666</v>
      </c>
    </row>
    <row r="208" spans="1:2">
      <c r="A208" s="1">
        <v>138</v>
      </c>
      <c r="B208">
        <f t="shared" ca="1" si="3"/>
        <v>131.83333333333334</v>
      </c>
    </row>
    <row r="209" spans="1:2">
      <c r="A209" s="1">
        <v>130</v>
      </c>
      <c r="B209">
        <f t="shared" ca="1" si="3"/>
        <v>133.03333333333333</v>
      </c>
    </row>
    <row r="210" spans="1:2">
      <c r="A210" s="1">
        <v>134</v>
      </c>
      <c r="B210">
        <f t="shared" ca="1" si="3"/>
        <v>133.69999999999999</v>
      </c>
    </row>
    <row r="211" spans="1:2">
      <c r="A211" s="1">
        <v>133</v>
      </c>
      <c r="B211">
        <f t="shared" ca="1" si="3"/>
        <v>132.66666666666666</v>
      </c>
    </row>
    <row r="212" spans="1:2">
      <c r="B212">
        <f t="shared" ca="1" si="3"/>
        <v>134</v>
      </c>
    </row>
    <row r="213" spans="1:2">
      <c r="B213">
        <f t="shared" ca="1" si="3"/>
        <v>133.80000000000001</v>
      </c>
    </row>
    <row r="214" spans="1:2">
      <c r="B214">
        <f t="shared" ca="1" si="3"/>
        <v>132.69999999999999</v>
      </c>
    </row>
    <row r="215" spans="1:2">
      <c r="B215">
        <f t="shared" ca="1" si="3"/>
        <v>133.06666666666666</v>
      </c>
    </row>
    <row r="216" spans="1:2">
      <c r="B216">
        <f t="shared" ca="1" si="3"/>
        <v>132.76666666666668</v>
      </c>
    </row>
    <row r="217" spans="1:2">
      <c r="B217">
        <f t="shared" ca="1" si="3"/>
        <v>133.76666666666668</v>
      </c>
    </row>
    <row r="218" spans="1:2">
      <c r="B218">
        <f t="shared" ca="1" si="3"/>
        <v>132.73333333333332</v>
      </c>
    </row>
    <row r="219" spans="1:2">
      <c r="B219">
        <f t="shared" ca="1" si="3"/>
        <v>133.4</v>
      </c>
    </row>
    <row r="220" spans="1:2">
      <c r="B220">
        <f t="shared" ca="1" si="3"/>
        <v>132.66666666666666</v>
      </c>
    </row>
    <row r="221" spans="1:2">
      <c r="B221">
        <f t="shared" ca="1" si="3"/>
        <v>132.53333333333333</v>
      </c>
    </row>
    <row r="222" spans="1:2">
      <c r="B222">
        <f t="shared" ca="1" si="3"/>
        <v>133.19999999999999</v>
      </c>
    </row>
    <row r="223" spans="1:2">
      <c r="B223">
        <f t="shared" ca="1" si="3"/>
        <v>133.9</v>
      </c>
    </row>
    <row r="224" spans="1:2">
      <c r="B224">
        <f t="shared" ca="1" si="3"/>
        <v>133.69999999999999</v>
      </c>
    </row>
    <row r="225" spans="2:2">
      <c r="B225">
        <f t="shared" ca="1" si="3"/>
        <v>132.26666666666668</v>
      </c>
    </row>
    <row r="226" spans="2:2">
      <c r="B226">
        <f t="shared" ca="1" si="3"/>
        <v>132.80000000000001</v>
      </c>
    </row>
    <row r="227" spans="2:2">
      <c r="B227">
        <f t="shared" ca="1" si="3"/>
        <v>132.69999999999999</v>
      </c>
    </row>
    <row r="228" spans="2:2">
      <c r="B228">
        <f t="shared" ca="1" si="3"/>
        <v>130.53333333333333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A2F2-807A-F440-8B4C-C0E2AE5D80B8}">
  <dimension ref="A1:N31"/>
  <sheetViews>
    <sheetView tabSelected="1" workbookViewId="0">
      <selection activeCell="E32" sqref="E32"/>
    </sheetView>
  </sheetViews>
  <sheetFormatPr baseColWidth="10" defaultRowHeight="20"/>
  <cols>
    <col min="1" max="1" width="13.5703125" customWidth="1"/>
    <col min="6" max="6" width="12.5703125" customWidth="1"/>
  </cols>
  <sheetData>
    <row r="1" spans="1:9" ht="33">
      <c r="A1" s="5" t="s">
        <v>54</v>
      </c>
      <c r="B1" s="4"/>
      <c r="C1" s="4"/>
      <c r="D1" s="4"/>
      <c r="E1" s="4"/>
      <c r="F1" s="4"/>
      <c r="G1" s="4"/>
      <c r="H1" s="4"/>
      <c r="I1" s="4"/>
    </row>
    <row r="2" spans="1:9" ht="27">
      <c r="A2" s="4"/>
      <c r="B2" s="4"/>
      <c r="C2" s="4"/>
      <c r="D2" s="4"/>
      <c r="E2" s="4"/>
      <c r="F2" s="4"/>
      <c r="G2" s="4"/>
      <c r="H2" s="4"/>
      <c r="I2" s="4"/>
    </row>
    <row r="3" spans="1:9" ht="27">
      <c r="A3" s="6" t="s">
        <v>55</v>
      </c>
      <c r="B3" s="4"/>
      <c r="C3" s="4"/>
      <c r="D3" s="4"/>
      <c r="E3" s="4"/>
      <c r="F3" s="4"/>
      <c r="G3" s="4"/>
      <c r="H3" s="4"/>
      <c r="I3" s="4"/>
    </row>
    <row r="4" spans="1:9" ht="27">
      <c r="A4" s="6" t="s">
        <v>56</v>
      </c>
      <c r="B4" s="4"/>
      <c r="C4" s="4"/>
      <c r="D4" s="4"/>
      <c r="E4" s="4"/>
      <c r="F4" s="4"/>
      <c r="G4" s="4"/>
      <c r="H4" s="4"/>
      <c r="I4" s="4"/>
    </row>
    <row r="5" spans="1:9" ht="27">
      <c r="A5" s="6"/>
      <c r="B5" s="4"/>
      <c r="C5" s="4"/>
      <c r="D5" s="4"/>
      <c r="E5" s="4"/>
      <c r="F5" s="4"/>
      <c r="G5" s="4"/>
      <c r="H5" s="4"/>
      <c r="I5" s="4"/>
    </row>
    <row r="6" spans="1:9" ht="27">
      <c r="A6" s="6" t="s">
        <v>57</v>
      </c>
      <c r="B6" s="4"/>
      <c r="C6" s="4"/>
      <c r="D6" s="4"/>
      <c r="E6" s="4"/>
      <c r="F6" s="4"/>
      <c r="G6" s="4"/>
      <c r="H6" s="4"/>
      <c r="I6" s="4"/>
    </row>
    <row r="7" spans="1:9" ht="27">
      <c r="A7" s="6" t="s">
        <v>58</v>
      </c>
      <c r="B7" s="4"/>
      <c r="C7" s="4"/>
      <c r="D7" s="4"/>
      <c r="E7" s="4"/>
      <c r="F7" s="4"/>
      <c r="G7" s="4"/>
      <c r="H7" s="4"/>
      <c r="I7" s="4"/>
    </row>
    <row r="8" spans="1:9" ht="27">
      <c r="A8" s="4"/>
      <c r="B8" s="4"/>
      <c r="C8" s="4"/>
      <c r="D8" s="4"/>
      <c r="E8" s="4"/>
      <c r="F8" s="4"/>
      <c r="G8" s="4"/>
      <c r="H8" s="4"/>
      <c r="I8" s="4"/>
    </row>
    <row r="9" spans="1:9" ht="27">
      <c r="A9" s="4" t="s">
        <v>59</v>
      </c>
      <c r="B9" s="4"/>
      <c r="C9" s="4"/>
      <c r="D9" s="4"/>
      <c r="E9" s="4"/>
      <c r="F9" s="4"/>
      <c r="G9" s="4"/>
      <c r="H9" s="4"/>
      <c r="I9" s="4"/>
    </row>
    <row r="10" spans="1:9" ht="27">
      <c r="A10" s="4" t="s">
        <v>60</v>
      </c>
      <c r="B10" s="4"/>
      <c r="C10" s="4"/>
      <c r="D10" s="4"/>
      <c r="E10" s="4"/>
      <c r="F10" s="4"/>
      <c r="G10" s="4"/>
      <c r="H10" s="4"/>
      <c r="I10" s="4"/>
    </row>
    <row r="11" spans="1:9" ht="27">
      <c r="A11" s="4" t="s">
        <v>75</v>
      </c>
      <c r="B11" s="4"/>
      <c r="C11" s="4"/>
      <c r="D11" s="4"/>
      <c r="E11" s="4"/>
      <c r="F11" s="4"/>
      <c r="G11" s="4"/>
      <c r="H11" s="4"/>
      <c r="I11" s="4"/>
    </row>
    <row r="12" spans="1:9" ht="27">
      <c r="A12" s="4" t="s">
        <v>61</v>
      </c>
      <c r="B12" s="4"/>
      <c r="C12" s="4"/>
      <c r="D12" s="4"/>
      <c r="E12" s="4"/>
      <c r="F12" s="4"/>
      <c r="G12" s="4"/>
      <c r="H12" s="4"/>
      <c r="I12" s="4"/>
    </row>
    <row r="13" spans="1:9" ht="27">
      <c r="A13" s="4" t="s">
        <v>62</v>
      </c>
      <c r="B13" s="4"/>
      <c r="C13" s="4"/>
      <c r="D13" s="4"/>
      <c r="E13" s="4"/>
      <c r="F13" s="4"/>
      <c r="G13" s="4"/>
      <c r="H13" s="4"/>
      <c r="I13" s="4"/>
    </row>
    <row r="14" spans="1:9" ht="27">
      <c r="A14" s="4" t="s">
        <v>63</v>
      </c>
      <c r="B14" s="4"/>
      <c r="C14" s="4"/>
      <c r="D14" s="4"/>
      <c r="E14" s="4"/>
      <c r="F14" s="4"/>
      <c r="G14" s="4"/>
      <c r="H14" s="4"/>
      <c r="I14" s="4"/>
    </row>
    <row r="15" spans="1:9">
      <c r="H15" s="3"/>
      <c r="I15" s="3"/>
    </row>
    <row r="16" spans="1:9" ht="24">
      <c r="C16" s="7"/>
      <c r="D16" s="7"/>
      <c r="E16" s="7"/>
      <c r="F16" s="7"/>
      <c r="G16" s="7"/>
      <c r="H16" s="7"/>
      <c r="I16" s="7"/>
    </row>
    <row r="17" spans="1:14" ht="24">
      <c r="A17" s="7" t="s">
        <v>64</v>
      </c>
      <c r="C17" s="7" t="s">
        <v>65</v>
      </c>
      <c r="D17" s="7"/>
      <c r="E17" s="7"/>
      <c r="F17" s="7" t="s">
        <v>68</v>
      </c>
      <c r="G17" s="7"/>
      <c r="H17" s="7"/>
      <c r="I17" s="7" t="s">
        <v>72</v>
      </c>
    </row>
    <row r="18" spans="1:14" ht="24">
      <c r="A18" s="9">
        <v>120</v>
      </c>
      <c r="B18" s="10"/>
      <c r="C18" s="8" t="s">
        <v>66</v>
      </c>
      <c r="D18" s="20"/>
      <c r="F18" s="9" t="s">
        <v>69</v>
      </c>
      <c r="G18" s="15"/>
      <c r="I18" s="30"/>
      <c r="J18" s="31"/>
      <c r="K18" s="32"/>
    </row>
    <row r="19" spans="1:14" ht="24">
      <c r="A19" s="9">
        <v>124</v>
      </c>
      <c r="B19" s="10"/>
      <c r="C19" s="7"/>
      <c r="D19" s="13"/>
      <c r="F19" s="11"/>
      <c r="G19" s="12"/>
      <c r="I19" s="3"/>
    </row>
    <row r="20" spans="1:14" ht="24">
      <c r="A20" s="9">
        <v>126</v>
      </c>
      <c r="B20" s="10"/>
      <c r="C20" s="8" t="s">
        <v>76</v>
      </c>
      <c r="D20" s="20"/>
      <c r="F20" s="9" t="s">
        <v>70</v>
      </c>
      <c r="G20" s="14"/>
      <c r="I20" s="30"/>
      <c r="J20" s="31"/>
      <c r="K20" s="32"/>
    </row>
    <row r="21" spans="1:14" ht="24">
      <c r="A21" s="9">
        <v>130</v>
      </c>
      <c r="B21" s="10"/>
      <c r="C21" s="7"/>
      <c r="D21" s="13"/>
      <c r="F21" s="34"/>
      <c r="I21" s="3"/>
    </row>
    <row r="22" spans="1:14" ht="24">
      <c r="A22" s="9">
        <v>130</v>
      </c>
      <c r="B22" s="10"/>
      <c r="C22" s="8" t="s">
        <v>74</v>
      </c>
      <c r="D22" s="20"/>
      <c r="F22" s="33" t="s">
        <v>81</v>
      </c>
      <c r="G22" s="18"/>
      <c r="I22" s="21"/>
      <c r="J22" s="22"/>
      <c r="K22" s="22"/>
      <c r="L22" s="22"/>
      <c r="M22" s="22"/>
      <c r="N22" s="23"/>
    </row>
    <row r="23" spans="1:14" ht="24">
      <c r="A23" s="9">
        <v>131</v>
      </c>
      <c r="B23" s="10"/>
      <c r="C23" s="7"/>
      <c r="D23" s="13"/>
      <c r="F23" s="17" t="s">
        <v>82</v>
      </c>
      <c r="G23" s="19"/>
      <c r="I23" s="24"/>
      <c r="J23" s="25"/>
      <c r="K23" s="25"/>
      <c r="L23" s="25"/>
      <c r="M23" s="25"/>
      <c r="N23" s="26"/>
    </row>
    <row r="24" spans="1:14" ht="24">
      <c r="A24" s="9">
        <v>132</v>
      </c>
      <c r="B24" s="10"/>
      <c r="C24" s="8" t="s">
        <v>67</v>
      </c>
      <c r="D24" s="20"/>
      <c r="F24" s="9" t="s">
        <v>71</v>
      </c>
      <c r="G24" s="14"/>
      <c r="I24" s="24"/>
      <c r="J24" s="25"/>
      <c r="K24" s="25"/>
      <c r="L24" s="25"/>
      <c r="M24" s="25"/>
      <c r="N24" s="26"/>
    </row>
    <row r="25" spans="1:14" ht="24">
      <c r="A25" s="9">
        <v>133</v>
      </c>
      <c r="B25" s="10"/>
      <c r="I25" s="24"/>
      <c r="J25" s="25"/>
      <c r="K25" s="25"/>
      <c r="L25" s="25"/>
      <c r="M25" s="25"/>
      <c r="N25" s="26"/>
    </row>
    <row r="26" spans="1:14" ht="24">
      <c r="A26" s="9">
        <v>134</v>
      </c>
      <c r="B26" s="10"/>
      <c r="I26" s="27"/>
      <c r="J26" s="28"/>
      <c r="K26" s="28"/>
      <c r="L26" s="28"/>
      <c r="M26" s="28"/>
      <c r="N26" s="29"/>
    </row>
    <row r="27" spans="1:14" ht="24">
      <c r="A27" s="9">
        <v>140</v>
      </c>
      <c r="B27" s="10"/>
    </row>
    <row r="31" spans="1:14">
      <c r="I31" t="s">
        <v>83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E82F-B1D8-BC41-ABED-A5D0E163273A}">
  <dimension ref="A1:N27"/>
  <sheetViews>
    <sheetView workbookViewId="0">
      <selection activeCell="E31" sqref="E31"/>
    </sheetView>
  </sheetViews>
  <sheetFormatPr baseColWidth="10" defaultRowHeight="20"/>
  <cols>
    <col min="1" max="1" width="13.5703125" customWidth="1"/>
    <col min="6" max="6" width="11.42578125" customWidth="1"/>
  </cols>
  <sheetData>
    <row r="1" spans="1:9" ht="33">
      <c r="A1" s="5" t="s">
        <v>54</v>
      </c>
      <c r="B1" s="4"/>
      <c r="C1" s="4"/>
      <c r="D1" s="4"/>
      <c r="E1" s="4"/>
      <c r="F1" s="4"/>
      <c r="G1" s="4"/>
      <c r="H1" s="4"/>
      <c r="I1" s="4"/>
    </row>
    <row r="2" spans="1:9" ht="27">
      <c r="A2" s="4"/>
      <c r="B2" s="4"/>
      <c r="C2" s="4"/>
      <c r="D2" s="4"/>
      <c r="E2" s="4"/>
      <c r="F2" s="4"/>
      <c r="G2" s="4"/>
      <c r="H2" s="4"/>
      <c r="I2" s="4"/>
    </row>
    <row r="3" spans="1:9" ht="27">
      <c r="A3" s="6" t="s">
        <v>55</v>
      </c>
      <c r="B3" s="4"/>
      <c r="C3" s="4"/>
      <c r="D3" s="4"/>
      <c r="E3" s="4"/>
      <c r="F3" s="4"/>
      <c r="G3" s="4"/>
      <c r="H3" s="4"/>
      <c r="I3" s="4"/>
    </row>
    <row r="4" spans="1:9" ht="27">
      <c r="A4" s="6" t="s">
        <v>56</v>
      </c>
      <c r="B4" s="4"/>
      <c r="C4" s="4"/>
      <c r="D4" s="4"/>
      <c r="E4" s="4"/>
      <c r="F4" s="4"/>
      <c r="G4" s="4"/>
      <c r="H4" s="4"/>
      <c r="I4" s="4"/>
    </row>
    <row r="5" spans="1:9" ht="27">
      <c r="A5" s="6"/>
      <c r="B5" s="4"/>
      <c r="C5" s="4"/>
      <c r="D5" s="4"/>
      <c r="E5" s="4"/>
      <c r="F5" s="4"/>
      <c r="G5" s="4"/>
      <c r="H5" s="4"/>
      <c r="I5" s="4"/>
    </row>
    <row r="6" spans="1:9" ht="27">
      <c r="A6" s="6" t="s">
        <v>57</v>
      </c>
      <c r="B6" s="4"/>
      <c r="C6" s="4"/>
      <c r="D6" s="4"/>
      <c r="E6" s="4"/>
      <c r="F6" s="4"/>
      <c r="G6" s="4"/>
      <c r="H6" s="4"/>
      <c r="I6" s="4"/>
    </row>
    <row r="7" spans="1:9" ht="27">
      <c r="A7" s="6" t="s">
        <v>58</v>
      </c>
      <c r="B7" s="4"/>
      <c r="C7" s="4"/>
      <c r="D7" s="4"/>
      <c r="E7" s="4"/>
      <c r="F7" s="4"/>
      <c r="G7" s="4"/>
      <c r="H7" s="4"/>
      <c r="I7" s="4"/>
    </row>
    <row r="8" spans="1:9" ht="27">
      <c r="A8" s="4"/>
      <c r="B8" s="4"/>
      <c r="C8" s="4"/>
      <c r="D8" s="4"/>
      <c r="E8" s="4"/>
      <c r="F8" s="4"/>
      <c r="G8" s="4"/>
      <c r="H8" s="4"/>
      <c r="I8" s="4"/>
    </row>
    <row r="9" spans="1:9" ht="27">
      <c r="A9" s="4" t="s">
        <v>59</v>
      </c>
      <c r="B9" s="4"/>
      <c r="C9" s="4"/>
      <c r="D9" s="4"/>
      <c r="E9" s="4"/>
      <c r="F9" s="4"/>
      <c r="G9" s="4"/>
      <c r="H9" s="4"/>
      <c r="I9" s="4"/>
    </row>
    <row r="10" spans="1:9" ht="27">
      <c r="A10" s="4" t="s">
        <v>60</v>
      </c>
      <c r="B10" s="4"/>
      <c r="C10" s="4"/>
      <c r="D10" s="4"/>
      <c r="E10" s="4"/>
      <c r="F10" s="4"/>
      <c r="G10" s="4"/>
      <c r="H10" s="4"/>
      <c r="I10" s="4"/>
    </row>
    <row r="11" spans="1:9" ht="27">
      <c r="A11" s="4" t="s">
        <v>75</v>
      </c>
      <c r="B11" s="4"/>
      <c r="C11" s="4"/>
      <c r="D11" s="4"/>
      <c r="E11" s="4"/>
      <c r="F11" s="4"/>
      <c r="G11" s="4"/>
      <c r="H11" s="4"/>
      <c r="I11" s="4"/>
    </row>
    <row r="12" spans="1:9" ht="27">
      <c r="A12" s="4" t="s">
        <v>61</v>
      </c>
      <c r="B12" s="4"/>
      <c r="C12" s="4"/>
      <c r="D12" s="4"/>
      <c r="E12" s="4"/>
      <c r="F12" s="4"/>
      <c r="G12" s="4"/>
      <c r="H12" s="4"/>
      <c r="I12" s="4"/>
    </row>
    <row r="13" spans="1:9" ht="27">
      <c r="A13" s="4" t="s">
        <v>62</v>
      </c>
      <c r="B13" s="4"/>
      <c r="C13" s="4"/>
      <c r="D13" s="4"/>
      <c r="E13" s="4"/>
      <c r="F13" s="4"/>
      <c r="G13" s="4"/>
      <c r="H13" s="4"/>
      <c r="I13" s="4"/>
    </row>
    <row r="14" spans="1:9" ht="27">
      <c r="A14" s="4" t="s">
        <v>63</v>
      </c>
      <c r="B14" s="4"/>
      <c r="C14" s="4"/>
      <c r="D14" s="4"/>
      <c r="E14" s="4"/>
      <c r="F14" s="4"/>
      <c r="G14" s="4"/>
      <c r="H14" s="4"/>
      <c r="I14" s="4"/>
    </row>
    <row r="15" spans="1:9">
      <c r="H15" s="3"/>
      <c r="I15" s="3"/>
    </row>
    <row r="16" spans="1:9" ht="24">
      <c r="C16" s="7"/>
      <c r="D16" s="7"/>
      <c r="E16" s="7"/>
      <c r="F16" s="7"/>
      <c r="G16" s="7"/>
      <c r="H16" s="7"/>
      <c r="I16" s="7"/>
    </row>
    <row r="17" spans="1:14" ht="24">
      <c r="A17" s="7" t="s">
        <v>64</v>
      </c>
      <c r="C17" s="7" t="s">
        <v>65</v>
      </c>
      <c r="D17" s="7"/>
      <c r="E17" s="7"/>
      <c r="F17" s="7" t="s">
        <v>68</v>
      </c>
      <c r="G17" s="7"/>
      <c r="H17" s="7"/>
      <c r="I17" s="7" t="s">
        <v>72</v>
      </c>
    </row>
    <row r="18" spans="1:14" ht="24">
      <c r="A18" s="9">
        <v>120</v>
      </c>
      <c r="B18" s="10"/>
      <c r="C18" s="8" t="s">
        <v>66</v>
      </c>
      <c r="D18" s="20">
        <f>COUNT(A18:A27)</f>
        <v>10</v>
      </c>
      <c r="F18" s="8" t="s">
        <v>84</v>
      </c>
      <c r="G18" s="15">
        <v>135</v>
      </c>
      <c r="I18" s="30" t="s">
        <v>73</v>
      </c>
      <c r="J18" s="31"/>
      <c r="K18" s="32"/>
    </row>
    <row r="19" spans="1:14" ht="24">
      <c r="A19" s="9">
        <v>124</v>
      </c>
      <c r="B19" s="10"/>
      <c r="C19" s="7"/>
      <c r="D19" s="13"/>
      <c r="F19" s="7"/>
      <c r="G19" s="12"/>
      <c r="I19" s="3"/>
    </row>
    <row r="20" spans="1:14" ht="24">
      <c r="A20" s="9">
        <v>126</v>
      </c>
      <c r="B20" s="10"/>
      <c r="C20" s="8" t="s">
        <v>76</v>
      </c>
      <c r="D20" s="20">
        <f>AVERAGE(A18:A27)</f>
        <v>130</v>
      </c>
      <c r="I20" s="30" t="str">
        <f>IF(G25&lt;G27,"帰無仮説を棄却","帰無仮説を棄却できない")</f>
        <v>帰無仮説を棄却</v>
      </c>
      <c r="J20" s="31"/>
      <c r="K20" s="32"/>
    </row>
    <row r="21" spans="1:14" ht="24">
      <c r="A21" s="9">
        <v>130</v>
      </c>
      <c r="B21" s="10"/>
      <c r="C21" s="7"/>
      <c r="D21" s="13"/>
      <c r="F21" s="8" t="s">
        <v>70</v>
      </c>
      <c r="G21" s="14">
        <f>(D20-G18)/D24</f>
        <v>-2.6352313834736494</v>
      </c>
      <c r="I21" s="3"/>
    </row>
    <row r="22" spans="1:14" ht="24">
      <c r="A22" s="9">
        <v>130</v>
      </c>
      <c r="B22" s="10"/>
      <c r="C22" s="8" t="s">
        <v>74</v>
      </c>
      <c r="D22" s="20">
        <v>6</v>
      </c>
      <c r="F22" s="7"/>
      <c r="G22" s="12"/>
      <c r="I22" s="3"/>
    </row>
    <row r="23" spans="1:14" ht="24">
      <c r="A23" s="9">
        <v>131</v>
      </c>
      <c r="B23" s="10"/>
      <c r="C23" s="7"/>
      <c r="D23" s="13"/>
      <c r="F23" s="7"/>
      <c r="G23" s="12"/>
      <c r="I23" s="21" t="s">
        <v>77</v>
      </c>
      <c r="J23" s="22"/>
      <c r="K23" s="22"/>
      <c r="L23" s="22"/>
      <c r="M23" s="22"/>
      <c r="N23" s="23"/>
    </row>
    <row r="24" spans="1:14" ht="24">
      <c r="A24" s="9">
        <v>132</v>
      </c>
      <c r="B24" s="10"/>
      <c r="C24" s="8" t="s">
        <v>67</v>
      </c>
      <c r="D24" s="20">
        <f>D22/SQRT(D18)</f>
        <v>1.8973665961010275</v>
      </c>
      <c r="F24" s="7"/>
      <c r="G24" s="12"/>
      <c r="I24" s="24" t="s">
        <v>78</v>
      </c>
      <c r="J24" s="25"/>
      <c r="K24" s="25"/>
      <c r="L24" s="25"/>
      <c r="M24" s="25"/>
      <c r="N24" s="26"/>
    </row>
    <row r="25" spans="1:14" ht="24">
      <c r="A25" s="9">
        <v>133</v>
      </c>
      <c r="B25" s="10"/>
      <c r="F25" s="16" t="s">
        <v>81</v>
      </c>
      <c r="G25" s="18">
        <f>2*(1-_xlfn.NORM.S.DIST(ABS(G21),TRUE))</f>
        <v>8.4079945772492781E-3</v>
      </c>
      <c r="I25" s="24" t="s">
        <v>79</v>
      </c>
      <c r="J25" s="25"/>
      <c r="K25" s="25"/>
      <c r="L25" s="25"/>
      <c r="M25" s="25"/>
      <c r="N25" s="26"/>
    </row>
    <row r="26" spans="1:14" ht="24">
      <c r="A26" s="9">
        <v>134</v>
      </c>
      <c r="B26" s="10"/>
      <c r="F26" s="17" t="s">
        <v>82</v>
      </c>
      <c r="G26" s="19"/>
      <c r="I26" s="24"/>
      <c r="J26" s="25"/>
      <c r="K26" s="25"/>
      <c r="L26" s="25"/>
      <c r="M26" s="25"/>
      <c r="N26" s="26"/>
    </row>
    <row r="27" spans="1:14" ht="24">
      <c r="A27" s="9">
        <v>140</v>
      </c>
      <c r="B27" s="10"/>
      <c r="F27" s="8" t="s">
        <v>71</v>
      </c>
      <c r="G27" s="14">
        <v>0.05</v>
      </c>
      <c r="I27" s="27" t="s">
        <v>80</v>
      </c>
      <c r="J27" s="28"/>
      <c r="K27" s="28"/>
      <c r="L27" s="28"/>
      <c r="M27" s="28"/>
      <c r="N27" s="29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575A-2BC6-6D42-AB84-D3894CD5370C}">
  <dimension ref="A1:F211"/>
  <sheetViews>
    <sheetView workbookViewId="0">
      <selection activeCell="B2" sqref="B2"/>
    </sheetView>
  </sheetViews>
  <sheetFormatPr baseColWidth="10" defaultRowHeight="20"/>
  <cols>
    <col min="1" max="1" width="7" bestFit="1" customWidth="1"/>
  </cols>
  <sheetData>
    <row r="1" spans="1:6">
      <c r="A1" s="1" t="s">
        <v>2</v>
      </c>
      <c r="B1">
        <v>50</v>
      </c>
    </row>
    <row r="2" spans="1:6">
      <c r="A2" s="1">
        <v>130</v>
      </c>
      <c r="B2">
        <f ca="1">AVERAGE(
  _xlfn.TAKE(
    _xlfn.SORTBY($A$2:$A$211, _xlfn.RANDARRAY(ROWS($A$2:$A$211))),
    $B$1
  )
)</f>
        <v>133.86000000000001</v>
      </c>
      <c r="C2">
        <f t="shared" ref="C2:C65" ca="1" si="0">AVERAGE(
  _xlfn.TAKE(
    _xlfn.SORTBY($A$2:$A$211, _xlfn.RANDARRAY(ROWS($A$2:$A$211))),
    $B$1
  )
)</f>
        <v>134.02000000000001</v>
      </c>
    </row>
    <row r="3" spans="1:6">
      <c r="A3" s="1">
        <v>124</v>
      </c>
      <c r="C3">
        <f t="shared" ca="1" si="0"/>
        <v>133.86000000000001</v>
      </c>
      <c r="E3">
        <v>128</v>
      </c>
      <c r="F3" cm="1">
        <f t="array" aca="1" ref="F3:F20" ca="1">FREQUENCY(C2:C101,E3:E19)</f>
        <v>0</v>
      </c>
    </row>
    <row r="4" spans="1:6">
      <c r="A4" s="1">
        <v>140</v>
      </c>
      <c r="C4">
        <f t="shared" ca="1" si="0"/>
        <v>131.82</v>
      </c>
      <c r="E4">
        <f>E3+0.5</f>
        <v>128.5</v>
      </c>
      <c r="F4">
        <f ca="1"/>
        <v>0</v>
      </c>
    </row>
    <row r="5" spans="1:6">
      <c r="A5" s="1">
        <v>119</v>
      </c>
      <c r="C5">
        <f t="shared" ca="1" si="0"/>
        <v>131.82</v>
      </c>
      <c r="E5">
        <f t="shared" ref="E5:E19" si="1">E4+0.5</f>
        <v>129</v>
      </c>
      <c r="F5">
        <f ca="1"/>
        <v>0</v>
      </c>
    </row>
    <row r="6" spans="1:6">
      <c r="A6" s="1">
        <v>131</v>
      </c>
      <c r="C6">
        <f t="shared" ca="1" si="0"/>
        <v>133.30000000000001</v>
      </c>
      <c r="E6">
        <f t="shared" si="1"/>
        <v>129.5</v>
      </c>
      <c r="F6">
        <f ca="1"/>
        <v>0</v>
      </c>
    </row>
    <row r="7" spans="1:6">
      <c r="A7" s="1">
        <v>132</v>
      </c>
      <c r="C7">
        <f t="shared" ca="1" si="0"/>
        <v>132.54</v>
      </c>
      <c r="E7">
        <f t="shared" si="1"/>
        <v>130</v>
      </c>
      <c r="F7">
        <f ca="1"/>
        <v>0</v>
      </c>
    </row>
    <row r="8" spans="1:6">
      <c r="A8" s="1">
        <v>139</v>
      </c>
      <c r="C8">
        <f t="shared" ca="1" si="0"/>
        <v>133.97999999999999</v>
      </c>
      <c r="E8">
        <f t="shared" si="1"/>
        <v>130.5</v>
      </c>
      <c r="F8">
        <f ca="1"/>
        <v>0</v>
      </c>
    </row>
    <row r="9" spans="1:6">
      <c r="A9" s="1">
        <v>139</v>
      </c>
      <c r="C9">
        <f t="shared" ca="1" si="0"/>
        <v>132.96</v>
      </c>
      <c r="E9">
        <f t="shared" si="1"/>
        <v>131</v>
      </c>
      <c r="F9">
        <f ca="1"/>
        <v>0</v>
      </c>
    </row>
    <row r="10" spans="1:6">
      <c r="A10" s="1">
        <v>134</v>
      </c>
      <c r="C10">
        <f t="shared" ca="1" si="0"/>
        <v>133.47999999999999</v>
      </c>
      <c r="E10">
        <f t="shared" si="1"/>
        <v>131.5</v>
      </c>
      <c r="F10">
        <f ca="1"/>
        <v>2</v>
      </c>
    </row>
    <row r="11" spans="1:6">
      <c r="A11" s="1">
        <v>130</v>
      </c>
      <c r="C11">
        <f t="shared" ca="1" si="0"/>
        <v>132.08000000000001</v>
      </c>
      <c r="E11">
        <f t="shared" si="1"/>
        <v>132</v>
      </c>
      <c r="F11">
        <f ca="1"/>
        <v>7</v>
      </c>
    </row>
    <row r="12" spans="1:6">
      <c r="A12" s="1">
        <v>141</v>
      </c>
      <c r="C12">
        <f t="shared" ca="1" si="0"/>
        <v>134.96</v>
      </c>
      <c r="E12">
        <f t="shared" si="1"/>
        <v>132.5</v>
      </c>
      <c r="F12">
        <f ca="1"/>
        <v>12</v>
      </c>
    </row>
    <row r="13" spans="1:6">
      <c r="A13" s="1">
        <v>124</v>
      </c>
      <c r="C13">
        <f t="shared" ca="1" si="0"/>
        <v>132.6</v>
      </c>
      <c r="E13">
        <f t="shared" si="1"/>
        <v>133</v>
      </c>
      <c r="F13">
        <f ca="1"/>
        <v>24</v>
      </c>
    </row>
    <row r="14" spans="1:6">
      <c r="A14" s="1">
        <v>142</v>
      </c>
      <c r="C14">
        <f t="shared" ca="1" si="0"/>
        <v>133.74</v>
      </c>
      <c r="E14">
        <f t="shared" si="1"/>
        <v>133.5</v>
      </c>
      <c r="F14">
        <f ca="1"/>
        <v>29</v>
      </c>
    </row>
    <row r="15" spans="1:6">
      <c r="A15" s="1">
        <v>140</v>
      </c>
      <c r="C15">
        <f t="shared" ca="1" si="0"/>
        <v>133.69999999999999</v>
      </c>
      <c r="E15">
        <f t="shared" si="1"/>
        <v>134</v>
      </c>
      <c r="F15">
        <f ca="1"/>
        <v>17</v>
      </c>
    </row>
    <row r="16" spans="1:6">
      <c r="A16" s="1">
        <v>124</v>
      </c>
      <c r="C16">
        <f t="shared" ca="1" si="0"/>
        <v>134</v>
      </c>
      <c r="E16">
        <f t="shared" si="1"/>
        <v>134.5</v>
      </c>
      <c r="F16">
        <f ca="1"/>
        <v>3</v>
      </c>
    </row>
    <row r="17" spans="1:6">
      <c r="A17" s="1">
        <v>139</v>
      </c>
      <c r="C17">
        <f t="shared" ca="1" si="0"/>
        <v>133.32</v>
      </c>
      <c r="E17">
        <f>E16+0.5</f>
        <v>135</v>
      </c>
      <c r="F17">
        <f ca="1"/>
        <v>5</v>
      </c>
    </row>
    <row r="18" spans="1:6">
      <c r="A18" s="1">
        <v>125</v>
      </c>
      <c r="C18">
        <f t="shared" ca="1" si="0"/>
        <v>132.97999999999999</v>
      </c>
      <c r="E18">
        <f t="shared" si="1"/>
        <v>135.5</v>
      </c>
      <c r="F18">
        <f ca="1"/>
        <v>1</v>
      </c>
    </row>
    <row r="19" spans="1:6">
      <c r="A19" s="1">
        <v>132</v>
      </c>
      <c r="C19">
        <f t="shared" ca="1" si="0"/>
        <v>133.62</v>
      </c>
      <c r="E19">
        <f t="shared" si="1"/>
        <v>136</v>
      </c>
      <c r="F19">
        <f ca="1"/>
        <v>0</v>
      </c>
    </row>
    <row r="20" spans="1:6">
      <c r="A20" s="1">
        <v>134</v>
      </c>
      <c r="C20">
        <f t="shared" ca="1" si="0"/>
        <v>133.78</v>
      </c>
      <c r="F20">
        <f ca="1"/>
        <v>0</v>
      </c>
    </row>
    <row r="21" spans="1:6">
      <c r="A21" s="1">
        <v>133</v>
      </c>
      <c r="C21">
        <f t="shared" ca="1" si="0"/>
        <v>132.32</v>
      </c>
    </row>
    <row r="22" spans="1:6">
      <c r="A22" s="1">
        <v>139</v>
      </c>
      <c r="C22">
        <f t="shared" ca="1" si="0"/>
        <v>132.13999999999999</v>
      </c>
    </row>
    <row r="23" spans="1:6">
      <c r="A23" s="1">
        <v>121</v>
      </c>
      <c r="C23">
        <f t="shared" ca="1" si="0"/>
        <v>133.24</v>
      </c>
    </row>
    <row r="24" spans="1:6">
      <c r="A24" s="1">
        <v>138</v>
      </c>
      <c r="C24">
        <f t="shared" ca="1" si="0"/>
        <v>133.96</v>
      </c>
    </row>
    <row r="25" spans="1:6">
      <c r="A25" s="1">
        <v>136</v>
      </c>
      <c r="C25">
        <f t="shared" ca="1" si="0"/>
        <v>131.72</v>
      </c>
    </row>
    <row r="26" spans="1:6">
      <c r="A26" s="1">
        <v>133</v>
      </c>
      <c r="C26">
        <f t="shared" ca="1" si="0"/>
        <v>132.9</v>
      </c>
    </row>
    <row r="27" spans="1:6">
      <c r="A27" s="1">
        <v>126</v>
      </c>
      <c r="C27">
        <f t="shared" ca="1" si="0"/>
        <v>133.1</v>
      </c>
    </row>
    <row r="28" spans="1:6">
      <c r="A28" s="1">
        <v>139</v>
      </c>
      <c r="C28">
        <f t="shared" ca="1" si="0"/>
        <v>132.72</v>
      </c>
    </row>
    <row r="29" spans="1:6">
      <c r="A29" s="1">
        <v>126</v>
      </c>
      <c r="C29">
        <f t="shared" ca="1" si="0"/>
        <v>132.4</v>
      </c>
    </row>
    <row r="30" spans="1:6">
      <c r="A30" s="1">
        <v>138</v>
      </c>
      <c r="C30">
        <f t="shared" ca="1" si="0"/>
        <v>133.22</v>
      </c>
    </row>
    <row r="31" spans="1:6">
      <c r="A31" s="1">
        <v>147</v>
      </c>
      <c r="C31">
        <f t="shared" ca="1" si="0"/>
        <v>133.5</v>
      </c>
    </row>
    <row r="32" spans="1:6">
      <c r="A32" s="1">
        <v>133</v>
      </c>
      <c r="C32">
        <f t="shared" ca="1" si="0"/>
        <v>134.58000000000001</v>
      </c>
    </row>
    <row r="33" spans="1:3">
      <c r="A33" s="1">
        <v>131</v>
      </c>
      <c r="C33">
        <f t="shared" ca="1" si="0"/>
        <v>132.47999999999999</v>
      </c>
    </row>
    <row r="34" spans="1:3">
      <c r="A34" s="1">
        <v>136</v>
      </c>
      <c r="C34">
        <f t="shared" ca="1" si="0"/>
        <v>133.22</v>
      </c>
    </row>
    <row r="35" spans="1:3">
      <c r="A35" s="1">
        <v>143</v>
      </c>
      <c r="C35">
        <f t="shared" ca="1" si="0"/>
        <v>133.52000000000001</v>
      </c>
    </row>
    <row r="36" spans="1:3">
      <c r="A36" s="1">
        <v>142</v>
      </c>
      <c r="C36">
        <f t="shared" ca="1" si="0"/>
        <v>133.96</v>
      </c>
    </row>
    <row r="37" spans="1:3">
      <c r="A37" s="1">
        <v>143</v>
      </c>
      <c r="C37">
        <f t="shared" ca="1" si="0"/>
        <v>133.04</v>
      </c>
    </row>
    <row r="38" spans="1:3">
      <c r="A38" s="1">
        <v>131</v>
      </c>
      <c r="C38">
        <f t="shared" ca="1" si="0"/>
        <v>132.18</v>
      </c>
    </row>
    <row r="39" spans="1:3">
      <c r="A39" s="1">
        <v>126</v>
      </c>
      <c r="C39">
        <f t="shared" ca="1" si="0"/>
        <v>134.68</v>
      </c>
    </row>
    <row r="40" spans="1:3">
      <c r="A40" s="1">
        <v>125</v>
      </c>
      <c r="C40">
        <f t="shared" ca="1" si="0"/>
        <v>132.80000000000001</v>
      </c>
    </row>
    <row r="41" spans="1:3">
      <c r="A41" s="1">
        <v>128</v>
      </c>
      <c r="C41">
        <f t="shared" ca="1" si="0"/>
        <v>131.86000000000001</v>
      </c>
    </row>
    <row r="42" spans="1:3">
      <c r="A42" s="1">
        <v>139</v>
      </c>
      <c r="C42">
        <f t="shared" ca="1" si="0"/>
        <v>132.74</v>
      </c>
    </row>
    <row r="43" spans="1:3">
      <c r="A43" s="1">
        <v>140</v>
      </c>
      <c r="C43">
        <f t="shared" ca="1" si="0"/>
        <v>132.97999999999999</v>
      </c>
    </row>
    <row r="44" spans="1:3">
      <c r="A44" s="1">
        <v>125</v>
      </c>
      <c r="C44">
        <f t="shared" ca="1" si="0"/>
        <v>132.62</v>
      </c>
    </row>
    <row r="45" spans="1:3">
      <c r="A45" s="1">
        <v>128</v>
      </c>
      <c r="C45">
        <f t="shared" ca="1" si="0"/>
        <v>132.88</v>
      </c>
    </row>
    <row r="46" spans="1:3">
      <c r="A46" s="1">
        <v>129</v>
      </c>
      <c r="C46">
        <f t="shared" ca="1" si="0"/>
        <v>133.22</v>
      </c>
    </row>
    <row r="47" spans="1:3">
      <c r="A47" s="1">
        <v>136</v>
      </c>
      <c r="C47">
        <f t="shared" ca="1" si="0"/>
        <v>133.26</v>
      </c>
    </row>
    <row r="48" spans="1:3">
      <c r="A48" s="1">
        <v>140</v>
      </c>
      <c r="C48">
        <f t="shared" ca="1" si="0"/>
        <v>131.91999999999999</v>
      </c>
    </row>
    <row r="49" spans="1:3">
      <c r="A49" s="1">
        <v>146</v>
      </c>
      <c r="C49">
        <f t="shared" ca="1" si="0"/>
        <v>134.86000000000001</v>
      </c>
    </row>
    <row r="50" spans="1:3">
      <c r="A50" s="1">
        <v>131</v>
      </c>
      <c r="C50">
        <f t="shared" ca="1" si="0"/>
        <v>132.02000000000001</v>
      </c>
    </row>
    <row r="51" spans="1:3">
      <c r="A51" s="1">
        <v>128</v>
      </c>
      <c r="C51">
        <f t="shared" ca="1" si="0"/>
        <v>133.76</v>
      </c>
    </row>
    <row r="52" spans="1:3">
      <c r="A52" s="1">
        <v>127</v>
      </c>
      <c r="C52">
        <f t="shared" ca="1" si="0"/>
        <v>132.68</v>
      </c>
    </row>
    <row r="53" spans="1:3">
      <c r="A53" s="1">
        <v>137</v>
      </c>
      <c r="C53">
        <f t="shared" ca="1" si="0"/>
        <v>133.88</v>
      </c>
    </row>
    <row r="54" spans="1:3">
      <c r="A54" s="1">
        <v>125</v>
      </c>
      <c r="C54">
        <f t="shared" ca="1" si="0"/>
        <v>132.74</v>
      </c>
    </row>
    <row r="55" spans="1:3">
      <c r="A55" s="1">
        <v>142</v>
      </c>
      <c r="C55">
        <f t="shared" ca="1" si="0"/>
        <v>133.12</v>
      </c>
    </row>
    <row r="56" spans="1:3">
      <c r="A56" s="1">
        <v>149</v>
      </c>
      <c r="C56">
        <f t="shared" ca="1" si="0"/>
        <v>133.24</v>
      </c>
    </row>
    <row r="57" spans="1:3">
      <c r="A57" s="1">
        <v>128</v>
      </c>
      <c r="C57">
        <f t="shared" ca="1" si="0"/>
        <v>132.72</v>
      </c>
    </row>
    <row r="58" spans="1:3">
      <c r="A58" s="1">
        <v>143</v>
      </c>
      <c r="C58">
        <f t="shared" ca="1" si="0"/>
        <v>132.54</v>
      </c>
    </row>
    <row r="59" spans="1:3">
      <c r="A59" s="1">
        <v>134</v>
      </c>
      <c r="C59">
        <f t="shared" ca="1" si="0"/>
        <v>133.32</v>
      </c>
    </row>
    <row r="60" spans="1:3">
      <c r="A60" s="1">
        <v>132</v>
      </c>
      <c r="C60">
        <f t="shared" ca="1" si="0"/>
        <v>132.08000000000001</v>
      </c>
    </row>
    <row r="61" spans="1:3">
      <c r="A61" s="1">
        <v>138</v>
      </c>
      <c r="C61">
        <f t="shared" ca="1" si="0"/>
        <v>133.63999999999999</v>
      </c>
    </row>
    <row r="62" spans="1:3">
      <c r="A62" s="1">
        <v>135</v>
      </c>
      <c r="C62">
        <f t="shared" ca="1" si="0"/>
        <v>134.24</v>
      </c>
    </row>
    <row r="63" spans="1:3">
      <c r="A63" s="1">
        <v>132</v>
      </c>
      <c r="C63">
        <f t="shared" ca="1" si="0"/>
        <v>133.36000000000001</v>
      </c>
    </row>
    <row r="64" spans="1:3">
      <c r="A64" s="1">
        <v>129</v>
      </c>
      <c r="C64">
        <f t="shared" ca="1" si="0"/>
        <v>132.58000000000001</v>
      </c>
    </row>
    <row r="65" spans="1:3">
      <c r="A65" s="1">
        <v>126</v>
      </c>
      <c r="C65">
        <f t="shared" ca="1" si="0"/>
        <v>134</v>
      </c>
    </row>
    <row r="66" spans="1:3">
      <c r="A66" s="1">
        <v>131</v>
      </c>
      <c r="C66">
        <f t="shared" ref="C66:C101" ca="1" si="2">AVERAGE(
  _xlfn.TAKE(
    _xlfn.SORTBY($A$2:$A$211, _xlfn.RANDARRAY(ROWS($A$2:$A$211))),
    $B$1
  )
)</f>
        <v>133.28</v>
      </c>
    </row>
    <row r="67" spans="1:3">
      <c r="A67" s="1">
        <v>122</v>
      </c>
      <c r="C67">
        <f t="shared" ca="1" si="2"/>
        <v>133.58000000000001</v>
      </c>
    </row>
    <row r="68" spans="1:3">
      <c r="A68" s="1">
        <v>135</v>
      </c>
      <c r="C68">
        <f t="shared" ca="1" si="2"/>
        <v>134.84</v>
      </c>
    </row>
    <row r="69" spans="1:3">
      <c r="A69" s="1">
        <v>133</v>
      </c>
      <c r="C69">
        <f t="shared" ca="1" si="2"/>
        <v>133.30000000000001</v>
      </c>
    </row>
    <row r="70" spans="1:3">
      <c r="A70" s="1">
        <v>140</v>
      </c>
      <c r="C70">
        <f t="shared" ca="1" si="2"/>
        <v>133.47999999999999</v>
      </c>
    </row>
    <row r="71" spans="1:3">
      <c r="A71" s="1">
        <v>131</v>
      </c>
      <c r="C71">
        <f t="shared" ca="1" si="2"/>
        <v>133.32</v>
      </c>
    </row>
    <row r="72" spans="1:3">
      <c r="A72" s="1">
        <v>131</v>
      </c>
      <c r="C72">
        <f t="shared" ca="1" si="2"/>
        <v>133.22</v>
      </c>
    </row>
    <row r="73" spans="1:3">
      <c r="A73" s="1">
        <v>132</v>
      </c>
      <c r="C73">
        <f t="shared" ca="1" si="2"/>
        <v>132.97999999999999</v>
      </c>
    </row>
    <row r="74" spans="1:3">
      <c r="A74" s="1">
        <v>141</v>
      </c>
      <c r="C74">
        <f t="shared" ca="1" si="2"/>
        <v>132.96</v>
      </c>
    </row>
    <row r="75" spans="1:3">
      <c r="A75" s="1">
        <v>132</v>
      </c>
      <c r="C75">
        <f t="shared" ca="1" si="2"/>
        <v>131.94</v>
      </c>
    </row>
    <row r="76" spans="1:3">
      <c r="A76" s="1">
        <v>139</v>
      </c>
      <c r="C76">
        <f t="shared" ca="1" si="2"/>
        <v>133.12</v>
      </c>
    </row>
    <row r="77" spans="1:3">
      <c r="A77" s="1">
        <v>125</v>
      </c>
      <c r="C77">
        <f t="shared" ca="1" si="2"/>
        <v>131.12</v>
      </c>
    </row>
    <row r="78" spans="1:3">
      <c r="A78" s="1">
        <v>132</v>
      </c>
      <c r="C78">
        <f t="shared" ca="1" si="2"/>
        <v>132.76</v>
      </c>
    </row>
    <row r="79" spans="1:3">
      <c r="A79" s="1">
        <v>140</v>
      </c>
      <c r="C79">
        <f t="shared" ca="1" si="2"/>
        <v>133.32</v>
      </c>
    </row>
    <row r="80" spans="1:3">
      <c r="A80" s="1">
        <v>128</v>
      </c>
      <c r="C80">
        <f t="shared" ca="1" si="2"/>
        <v>132.44</v>
      </c>
    </row>
    <row r="81" spans="1:3">
      <c r="A81" s="1">
        <v>131</v>
      </c>
      <c r="C81">
        <f t="shared" ca="1" si="2"/>
        <v>132.76</v>
      </c>
    </row>
    <row r="82" spans="1:3">
      <c r="A82" s="1">
        <v>137</v>
      </c>
      <c r="C82">
        <f t="shared" ca="1" si="2"/>
        <v>132.9</v>
      </c>
    </row>
    <row r="83" spans="1:3">
      <c r="A83" s="1">
        <v>126</v>
      </c>
      <c r="C83">
        <f t="shared" ca="1" si="2"/>
        <v>133.04</v>
      </c>
    </row>
    <row r="84" spans="1:3">
      <c r="A84" s="1">
        <v>140</v>
      </c>
      <c r="C84">
        <f t="shared" ca="1" si="2"/>
        <v>133.26</v>
      </c>
    </row>
    <row r="85" spans="1:3">
      <c r="A85" s="1">
        <v>126</v>
      </c>
      <c r="C85">
        <f t="shared" ca="1" si="2"/>
        <v>133.52000000000001</v>
      </c>
    </row>
    <row r="86" spans="1:3">
      <c r="A86" s="1">
        <v>132</v>
      </c>
      <c r="C86">
        <f t="shared" ca="1" si="2"/>
        <v>134.06</v>
      </c>
    </row>
    <row r="87" spans="1:3">
      <c r="A87" s="1">
        <v>117</v>
      </c>
      <c r="C87">
        <f t="shared" ca="1" si="2"/>
        <v>133.28</v>
      </c>
    </row>
    <row r="88" spans="1:3">
      <c r="A88" s="1">
        <v>123</v>
      </c>
      <c r="C88">
        <f t="shared" ca="1" si="2"/>
        <v>131.52000000000001</v>
      </c>
    </row>
    <row r="89" spans="1:3">
      <c r="A89" s="1">
        <v>134</v>
      </c>
      <c r="C89">
        <f t="shared" ca="1" si="2"/>
        <v>132.46</v>
      </c>
    </row>
    <row r="90" spans="1:3">
      <c r="A90" s="1">
        <v>129</v>
      </c>
      <c r="C90">
        <f t="shared" ca="1" si="2"/>
        <v>133.22</v>
      </c>
    </row>
    <row r="91" spans="1:3">
      <c r="A91" s="1">
        <v>136</v>
      </c>
      <c r="C91">
        <f t="shared" ca="1" si="2"/>
        <v>135.1</v>
      </c>
    </row>
    <row r="92" spans="1:3">
      <c r="A92" s="1">
        <v>132</v>
      </c>
      <c r="C92">
        <f t="shared" ca="1" si="2"/>
        <v>133.18</v>
      </c>
    </row>
    <row r="93" spans="1:3">
      <c r="A93" s="1">
        <v>110</v>
      </c>
      <c r="C93">
        <f t="shared" ca="1" si="2"/>
        <v>133.69999999999999</v>
      </c>
    </row>
    <row r="94" spans="1:3">
      <c r="A94" s="1">
        <v>129</v>
      </c>
      <c r="C94">
        <f t="shared" ca="1" si="2"/>
        <v>133.18</v>
      </c>
    </row>
    <row r="95" spans="1:3">
      <c r="A95" s="1">
        <v>130</v>
      </c>
      <c r="C95">
        <f t="shared" ca="1" si="2"/>
        <v>132.88</v>
      </c>
    </row>
    <row r="96" spans="1:3">
      <c r="A96" s="1">
        <v>132</v>
      </c>
      <c r="C96">
        <f t="shared" ca="1" si="2"/>
        <v>132.30000000000001</v>
      </c>
    </row>
    <row r="97" spans="1:3">
      <c r="A97" s="1">
        <v>124</v>
      </c>
      <c r="C97">
        <f t="shared" ca="1" si="2"/>
        <v>132.88</v>
      </c>
    </row>
    <row r="98" spans="1:3">
      <c r="A98" s="1">
        <v>132</v>
      </c>
      <c r="C98">
        <f t="shared" ca="1" si="2"/>
        <v>132.6</v>
      </c>
    </row>
    <row r="99" spans="1:3">
      <c r="A99" s="1">
        <v>130</v>
      </c>
      <c r="C99">
        <f t="shared" ca="1" si="2"/>
        <v>132.16</v>
      </c>
    </row>
    <row r="100" spans="1:3">
      <c r="A100" s="1">
        <v>125</v>
      </c>
      <c r="C100">
        <f t="shared" ca="1" si="2"/>
        <v>131.4</v>
      </c>
    </row>
    <row r="101" spans="1:3">
      <c r="A101" s="1">
        <v>129</v>
      </c>
      <c r="C101">
        <f t="shared" ca="1" si="2"/>
        <v>133.02000000000001</v>
      </c>
    </row>
    <row r="102" spans="1:3">
      <c r="A102" s="1">
        <v>130</v>
      </c>
    </row>
    <row r="103" spans="1:3">
      <c r="A103" s="1">
        <v>141</v>
      </c>
    </row>
    <row r="104" spans="1:3">
      <c r="A104" s="1">
        <v>140</v>
      </c>
    </row>
    <row r="105" spans="1:3">
      <c r="A105" s="1">
        <v>133</v>
      </c>
    </row>
    <row r="106" spans="1:3">
      <c r="A106" s="1">
        <v>134</v>
      </c>
    </row>
    <row r="107" spans="1:3">
      <c r="A107" s="1">
        <v>126</v>
      </c>
    </row>
    <row r="108" spans="1:3">
      <c r="A108" s="1">
        <v>128</v>
      </c>
    </row>
    <row r="109" spans="1:3">
      <c r="A109" s="1">
        <v>127</v>
      </c>
    </row>
    <row r="110" spans="1:3">
      <c r="A110" s="1">
        <v>139</v>
      </c>
    </row>
    <row r="111" spans="1:3">
      <c r="A111" s="1">
        <v>141</v>
      </c>
    </row>
    <row r="112" spans="1:3">
      <c r="A112" s="1">
        <v>135</v>
      </c>
    </row>
    <row r="113" spans="1:1">
      <c r="A113" s="1">
        <v>142</v>
      </c>
    </row>
    <row r="114" spans="1:1">
      <c r="A114" s="1">
        <v>138</v>
      </c>
    </row>
    <row r="115" spans="1:1">
      <c r="A115" s="1">
        <v>131</v>
      </c>
    </row>
    <row r="116" spans="1:1">
      <c r="A116" s="1">
        <v>134</v>
      </c>
    </row>
    <row r="117" spans="1:1">
      <c r="A117" s="1">
        <v>125</v>
      </c>
    </row>
    <row r="118" spans="1:1">
      <c r="A118" s="1">
        <v>128</v>
      </c>
    </row>
    <row r="119" spans="1:1">
      <c r="A119" s="1">
        <v>133</v>
      </c>
    </row>
    <row r="120" spans="1:1">
      <c r="A120" s="1">
        <v>122</v>
      </c>
    </row>
    <row r="121" spans="1:1">
      <c r="A121" s="1">
        <v>142</v>
      </c>
    </row>
    <row r="122" spans="1:1">
      <c r="A122" s="1">
        <v>132</v>
      </c>
    </row>
    <row r="123" spans="1:1">
      <c r="A123" s="1">
        <v>157</v>
      </c>
    </row>
    <row r="124" spans="1:1">
      <c r="A124" s="1">
        <v>133</v>
      </c>
    </row>
    <row r="125" spans="1:1">
      <c r="A125" s="1">
        <v>134</v>
      </c>
    </row>
    <row r="126" spans="1:1">
      <c r="A126" s="1">
        <v>134</v>
      </c>
    </row>
    <row r="127" spans="1:1">
      <c r="A127" s="1">
        <v>138</v>
      </c>
    </row>
    <row r="128" spans="1:1">
      <c r="A128" s="1">
        <v>139</v>
      </c>
    </row>
    <row r="129" spans="1:1">
      <c r="A129" s="1">
        <v>132</v>
      </c>
    </row>
    <row r="130" spans="1:1">
      <c r="A130" s="1">
        <v>149</v>
      </c>
    </row>
    <row r="131" spans="1:1">
      <c r="A131" s="1">
        <v>134</v>
      </c>
    </row>
    <row r="132" spans="1:1">
      <c r="A132" s="1">
        <v>124</v>
      </c>
    </row>
    <row r="133" spans="1:1">
      <c r="A133" s="1">
        <v>137</v>
      </c>
    </row>
    <row r="134" spans="1:1">
      <c r="A134" s="1">
        <v>125</v>
      </c>
    </row>
    <row r="135" spans="1:1">
      <c r="A135" s="1">
        <v>133</v>
      </c>
    </row>
    <row r="136" spans="1:1">
      <c r="A136" s="1">
        <v>132</v>
      </c>
    </row>
    <row r="137" spans="1:1">
      <c r="A137" s="1">
        <v>129</v>
      </c>
    </row>
    <row r="138" spans="1:1">
      <c r="A138" s="1">
        <v>143</v>
      </c>
    </row>
    <row r="139" spans="1:1">
      <c r="A139" s="1">
        <v>142</v>
      </c>
    </row>
    <row r="140" spans="1:1">
      <c r="A140" s="1">
        <v>129</v>
      </c>
    </row>
    <row r="141" spans="1:1">
      <c r="A141" s="1">
        <v>144</v>
      </c>
    </row>
    <row r="142" spans="1:1">
      <c r="A142" s="1">
        <v>136</v>
      </c>
    </row>
    <row r="143" spans="1:1">
      <c r="A143" s="1">
        <v>154</v>
      </c>
    </row>
    <row r="144" spans="1:1">
      <c r="A144" s="1">
        <v>129</v>
      </c>
    </row>
    <row r="145" spans="1:1">
      <c r="A145" s="1">
        <v>134</v>
      </c>
    </row>
    <row r="146" spans="1:1">
      <c r="A146" s="1">
        <v>135</v>
      </c>
    </row>
    <row r="147" spans="1:1">
      <c r="A147" s="1">
        <v>136</v>
      </c>
    </row>
    <row r="148" spans="1:1">
      <c r="A148" s="1">
        <v>134</v>
      </c>
    </row>
    <row r="149" spans="1:1">
      <c r="A149" s="1">
        <v>134</v>
      </c>
    </row>
    <row r="150" spans="1:1">
      <c r="A150" s="1">
        <v>135</v>
      </c>
    </row>
    <row r="151" spans="1:1">
      <c r="A151" s="1">
        <v>137</v>
      </c>
    </row>
    <row r="152" spans="1:1">
      <c r="A152" s="1">
        <v>129</v>
      </c>
    </row>
    <row r="153" spans="1:1">
      <c r="A153" s="1">
        <v>141</v>
      </c>
    </row>
    <row r="154" spans="1:1">
      <c r="A154" s="1">
        <v>135</v>
      </c>
    </row>
    <row r="155" spans="1:1">
      <c r="A155" s="1">
        <v>130</v>
      </c>
    </row>
    <row r="156" spans="1:1">
      <c r="A156" s="1">
        <v>123</v>
      </c>
    </row>
    <row r="157" spans="1:1">
      <c r="A157" s="1">
        <v>110</v>
      </c>
    </row>
    <row r="158" spans="1:1">
      <c r="A158" s="1">
        <v>133</v>
      </c>
    </row>
    <row r="159" spans="1:1">
      <c r="A159" s="1">
        <v>132</v>
      </c>
    </row>
    <row r="160" spans="1:1">
      <c r="A160" s="1">
        <v>129</v>
      </c>
    </row>
    <row r="161" spans="1:1">
      <c r="A161" s="1">
        <v>136</v>
      </c>
    </row>
    <row r="162" spans="1:1">
      <c r="A162" s="1">
        <v>133</v>
      </c>
    </row>
    <row r="163" spans="1:1">
      <c r="A163" s="1">
        <v>137</v>
      </c>
    </row>
    <row r="164" spans="1:1">
      <c r="A164" s="1">
        <v>146</v>
      </c>
    </row>
    <row r="165" spans="1:1">
      <c r="A165" s="1">
        <v>138</v>
      </c>
    </row>
    <row r="166" spans="1:1">
      <c r="A166" s="1">
        <v>118</v>
      </c>
    </row>
    <row r="167" spans="1:1">
      <c r="A167" s="1">
        <v>130</v>
      </c>
    </row>
    <row r="168" spans="1:1">
      <c r="A168" s="1">
        <v>140</v>
      </c>
    </row>
    <row r="169" spans="1:1">
      <c r="A169" s="1">
        <v>139</v>
      </c>
    </row>
    <row r="170" spans="1:1">
      <c r="A170" s="1">
        <v>132</v>
      </c>
    </row>
    <row r="171" spans="1:1">
      <c r="A171" s="1">
        <v>132</v>
      </c>
    </row>
    <row r="172" spans="1:1">
      <c r="A172" s="1">
        <v>129</v>
      </c>
    </row>
    <row r="173" spans="1:1">
      <c r="A173" s="1">
        <v>132</v>
      </c>
    </row>
    <row r="174" spans="1:1">
      <c r="A174" s="1">
        <v>133</v>
      </c>
    </row>
    <row r="175" spans="1:1">
      <c r="A175" s="1">
        <v>136</v>
      </c>
    </row>
    <row r="176" spans="1:1">
      <c r="A176" s="1">
        <v>154</v>
      </c>
    </row>
    <row r="177" spans="1:1">
      <c r="A177" s="1">
        <v>129</v>
      </c>
    </row>
    <row r="178" spans="1:1">
      <c r="A178" s="1">
        <v>134</v>
      </c>
    </row>
    <row r="179" spans="1:1">
      <c r="A179" s="1">
        <v>131</v>
      </c>
    </row>
    <row r="180" spans="1:1">
      <c r="A180" s="1">
        <v>136</v>
      </c>
    </row>
    <row r="181" spans="1:1">
      <c r="A181" s="1">
        <v>118</v>
      </c>
    </row>
    <row r="182" spans="1:1">
      <c r="A182" s="1">
        <v>122</v>
      </c>
    </row>
    <row r="183" spans="1:1">
      <c r="A183" s="1">
        <v>136</v>
      </c>
    </row>
    <row r="184" spans="1:1">
      <c r="A184" s="1">
        <v>134</v>
      </c>
    </row>
    <row r="185" spans="1:1">
      <c r="A185" s="1">
        <v>133</v>
      </c>
    </row>
    <row r="186" spans="1:1">
      <c r="A186" s="1">
        <v>137</v>
      </c>
    </row>
    <row r="187" spans="1:1">
      <c r="A187" s="1">
        <v>127</v>
      </c>
    </row>
    <row r="188" spans="1:1">
      <c r="A188" s="1">
        <v>130</v>
      </c>
    </row>
    <row r="189" spans="1:1">
      <c r="A189" s="1">
        <v>140</v>
      </c>
    </row>
    <row r="190" spans="1:1">
      <c r="A190" s="1">
        <v>136</v>
      </c>
    </row>
    <row r="191" spans="1:1">
      <c r="A191" s="1">
        <v>137</v>
      </c>
    </row>
    <row r="192" spans="1:1">
      <c r="A192" s="1">
        <v>128</v>
      </c>
    </row>
    <row r="193" spans="1:1">
      <c r="A193" s="1">
        <v>125</v>
      </c>
    </row>
    <row r="194" spans="1:1">
      <c r="A194" s="1">
        <v>136</v>
      </c>
    </row>
    <row r="195" spans="1:1">
      <c r="A195" s="1">
        <v>132</v>
      </c>
    </row>
    <row r="196" spans="1:1">
      <c r="A196" s="1">
        <v>133</v>
      </c>
    </row>
    <row r="197" spans="1:1">
      <c r="A197" s="1">
        <v>126</v>
      </c>
    </row>
    <row r="198" spans="1:1">
      <c r="A198" s="1">
        <v>129</v>
      </c>
    </row>
    <row r="199" spans="1:1">
      <c r="A199" s="1">
        <v>140</v>
      </c>
    </row>
    <row r="200" spans="1:1">
      <c r="A200" s="1">
        <v>140</v>
      </c>
    </row>
    <row r="201" spans="1:1">
      <c r="A201" s="1">
        <v>136</v>
      </c>
    </row>
    <row r="202" spans="1:1">
      <c r="A202" s="1">
        <v>140</v>
      </c>
    </row>
    <row r="203" spans="1:1">
      <c r="A203" s="1">
        <v>145</v>
      </c>
    </row>
    <row r="204" spans="1:1">
      <c r="A204" s="1">
        <v>129</v>
      </c>
    </row>
    <row r="205" spans="1:1">
      <c r="A205" s="1">
        <v>137</v>
      </c>
    </row>
    <row r="206" spans="1:1">
      <c r="A206" s="1">
        <v>133</v>
      </c>
    </row>
    <row r="207" spans="1:1">
      <c r="A207" s="1">
        <v>133</v>
      </c>
    </row>
    <row r="208" spans="1:1">
      <c r="A208" s="1">
        <v>130</v>
      </c>
    </row>
    <row r="209" spans="1:1">
      <c r="A209" s="1">
        <v>127</v>
      </c>
    </row>
    <row r="210" spans="1:1">
      <c r="A210" s="1">
        <v>122</v>
      </c>
    </row>
    <row r="211" spans="1:1">
      <c r="A211" s="1">
        <v>133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7D5D-A853-BB49-BEE7-A402F5843160}">
  <dimension ref="A1"/>
  <sheetViews>
    <sheetView workbookViewId="0"/>
  </sheetViews>
  <sheetFormatPr baseColWidth="10" defaultRowHeight="20"/>
  <sheetData>
    <row r="1" spans="1:1">
      <c r="A1" t="s">
        <v>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Sheet1</vt:lpstr>
      <vt:lpstr>Sheet2</vt:lpstr>
      <vt:lpstr>Sheet4 (2)</vt:lpstr>
      <vt:lpstr>Sheet4</vt:lpstr>
      <vt:lpstr>Sheet3</vt:lpstr>
      <vt:lpstr>Sheet6</vt:lpstr>
      <vt:lpstr>Sheet1!potato_31students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道和 岡井</dc:creator>
  <cp:lastModifiedBy>道和 岡井</cp:lastModifiedBy>
  <dcterms:created xsi:type="dcterms:W3CDTF">2025-12-29T06:52:11Z</dcterms:created>
  <dcterms:modified xsi:type="dcterms:W3CDTF">2026-01-02T04:20:42Z</dcterms:modified>
</cp:coreProperties>
</file>